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xr:revisionPtr revIDLastSave="0" documentId="8_{24B21673-6A53-4849-AC0A-91574CC713D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Matriz 100 Casos" sheetId="1" r:id="rId1"/>
    <sheet name="Resumen por Sector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2" l="1"/>
  <c r="C6" i="2"/>
  <c r="C7" i="2"/>
  <c r="C8" i="2"/>
  <c r="C12" i="2"/>
  <c r="C11" i="2"/>
  <c r="C10" i="2"/>
  <c r="C9" i="2"/>
  <c r="D5" i="2"/>
  <c r="D6" i="2"/>
  <c r="D7" i="2"/>
  <c r="D8" i="2"/>
  <c r="D12" i="2"/>
  <c r="D11" i="2"/>
  <c r="D10" i="2"/>
  <c r="D9" i="2"/>
  <c r="D13" i="2"/>
  <c r="C13" i="2"/>
</calcChain>
</file>

<file path=xl/sharedStrings.xml><?xml version="1.0" encoding="utf-8"?>
<sst xmlns="http://schemas.openxmlformats.org/spreadsheetml/2006/main" count="722" uniqueCount="620">
  <si>
    <t>CATÁLOGO COMPLETO DE AUTOMATIZACIÓN DE ATENCIÓN AL CLIENTE (100 CASOS)</t>
  </si>
  <si>
    <t>Dataset de entrenamiento para Chatbots, IA y CRM (Incluye Salud, Odontología, Restaurantes, Spa, Retail, Gym y Hoteles)</t>
  </si>
  <si>
    <t>ID</t>
  </si>
  <si>
    <t>Sector / Ámbito</t>
  </si>
  <si>
    <t>Intención (Intent)</t>
  </si>
  <si>
    <t>Pregunta Posible del Cliente</t>
  </si>
  <si>
    <t>Respuesta Humana del Bot / Agente</t>
  </si>
  <si>
    <t>Acción Operativa / Sistema (Trigger)</t>
  </si>
  <si>
    <t>Variables a Extraer (Entities)</t>
  </si>
  <si>
    <t>FAQ-001</t>
  </si>
  <si>
    <t>Clínica / Doctores</t>
  </si>
  <si>
    <t>#AGENDAR_CITA_MEDICA</t>
  </si>
  <si>
    <t>Buenas, necesito agendar una consulta médica con el traumatólogo esta semana.</t>
  </si>
  <si>
    <t>¡Hola! Con mucho gusto te ayudo a agendar. Tenemos disponibilidad con Traumatología el miércoles a las 10:00 AM y el jueves a las 3:30 PM. ¿Cuál horario te queda mejor?</t>
  </si>
  <si>
    <t>API_CLINIC.search_slots(specialty='Traumatologia') -&gt; API_CLINIC.hold_slot()</t>
  </si>
  <si>
    <t>{especialidad: 'traumatologia', rango: 'esta_semana'}</t>
  </si>
  <si>
    <t>FAQ-002</t>
  </si>
  <si>
    <t>Odontología</t>
  </si>
  <si>
    <t>#CITA_LIMPIEZA_DENTAL</t>
  </si>
  <si>
    <t>Hola, quiero reservar un turno para profilaxis y limpieza dental profunda.</t>
  </si>
  <si>
    <t>¡Hola! Perfecto. La limpieza dental profunda toma aproximadamente 45 minutos. Tengo disponible mañana a las 11:00 AM o el viernes a las 4:00 PM. ¿Te agendamos?</t>
  </si>
  <si>
    <t>API_DENTAL.get_free_slots(service='Limpieza') -&gt; API_DENTAL.book()</t>
  </si>
  <si>
    <t>{servicio: 'limpieza dental'}</t>
  </si>
  <si>
    <t>FAQ-003</t>
  </si>
  <si>
    <t>#URGENCIA_DENTAL</t>
  </si>
  <si>
    <t>¡Ayuda! Me duele muchísimo una muela y tengo la cara hinchada.</t>
  </si>
  <si>
    <t>Lamento mucho que estés pasando por eso. Es una urgencia dental. Te podemos recibir hoy mismo a las 2:00 PM o a las 4:30 PM para valoración inmediata. ¿A qué nombre te registro?</t>
  </si>
  <si>
    <t>TRIGGER.urgent_priority_alert() + API_DENTAL.book_emergency_slot()</t>
  </si>
  <si>
    <t>{urgencia: true, síntoma: 'dolor muela/hinchazon'}</t>
  </si>
  <si>
    <t>FAQ-004</t>
  </si>
  <si>
    <t>#COTIZACION_ORTODONCIA</t>
  </si>
  <si>
    <t>¿Cuánto cuestan los brackets estéticos o la ortodoncia invisible?</t>
  </si>
  <si>
    <t>El costo de la valoración inicial para ortodoncia es de $25 (incluye escaneo 3D). Los paquetes de brackets o Invisalign se cotizan según el caso. ¿Te agendamos la valoración?</t>
  </si>
  <si>
    <t>BOT.send_info('Ortodoncia_Precios') + CRM.create_lead(type='Ortodoncia')</t>
  </si>
  <si>
    <t>{interes: 'ortodoncia/brackets/invisalign'}</t>
  </si>
  <si>
    <t>FAQ-005</t>
  </si>
  <si>
    <t>#POSTOP_EXTRACCION</t>
  </si>
  <si>
    <t>Me sacaron una muela de juicio ayer y estoy sangrando un poco, ¿qué hago?</t>
  </si>
  <si>
    <t>Es normal un leve sangrado. Muerde firmemente una gasa limpia por 30 minutos, mantén reposo y evita líquidos calientes. Si el sangrado es abundante, avísame para conectarte con el cirujano.</t>
  </si>
  <si>
    <t>BOT.send_pdf('Cuidado_Post_Extraccion.pdf') + TRIGGER.flag_medical_followup()</t>
  </si>
  <si>
    <t>{procedimiento: 'extraccion', sintoma: 'sangrado'}</t>
  </si>
  <si>
    <t>FAQ-006</t>
  </si>
  <si>
    <t>#CONFIRMAR_CITA</t>
  </si>
  <si>
    <t>Hola, me llegó un mensaje para confirmar mi cita de mañana a las 9 am con Pediatría.</t>
  </si>
  <si>
    <t>¡Excelente! Por favor responde CONFIRMAR para dejar asegurado tu turno o CANCELAR si no podrás asistir para liberarlo a otro paciente.</t>
  </si>
  <si>
    <t>API_CLINIC.update_appointment_status('Confirmada')</t>
  </si>
  <si>
    <t>{accion: 'confirmar_cita', especialidad: 'pediatria'}</t>
  </si>
  <si>
    <t>FAQ-007</t>
  </si>
  <si>
    <t>#CANCELAR_CITA_MEDICA</t>
  </si>
  <si>
    <t>Hola, no podré ir a mi cita médica de hoy a las 3 pm por un imprevisto.</t>
  </si>
  <si>
    <t>Entendido, gracias por avisar. He cancelado tu cita para evitar recargos. ¿Te gustaría reagendarla para la próxima semana?</t>
  </si>
  <si>
    <t>API_CLINIC.cancel_appointment(id) -&gt; API_CLINIC.show_alternative_dates()</t>
  </si>
  <si>
    <t>{accion: 'cancelar', id_cita: 'auto'}</t>
  </si>
  <si>
    <t>FAQ-008</t>
  </si>
  <si>
    <t>#REQUISITO_EXAMEN_SANGRE</t>
  </si>
  <si>
    <t>Tengo exámenes de glucosa y perfil lipídico mañana, ¿cuántas horas de ayuno necesito?</t>
  </si>
  <si>
    <t>Para esos exámenes requieres de 8 a 12 horas de ayuno estricto (solo puedes beber agua). Por favor preséntate entre 7:00 AM y 9:00 AM en laboratorio.</t>
  </si>
  <si>
    <t>BOT.send_instructions('Preparacion_Laboratorio.pdf')</t>
  </si>
  <si>
    <t>{examen: 'glucosa/perfil_lipidico', requisito: 'ayuno'}</t>
  </si>
  <si>
    <t>FAQ-009</t>
  </si>
  <si>
    <t>#RESTRICCION_ECOGRAFIA</t>
  </si>
  <si>
    <t>¿Debo tomar agua antes de hacerme una ecografía pélvica?</t>
  </si>
  <si>
    <t>¡Sí! Para la ecografía pélvica debes tomar 1 litro de agua 1 hora antes del estudio y no orinar hasta culminar el examen. Te esperamos 15 minutos antes.</t>
  </si>
  <si>
    <t>BOT.send_instructions('Eco_Pelvica_Prep.pdf')</t>
  </si>
  <si>
    <t>{estudio: 'ecografia pelvica'}</t>
  </si>
  <si>
    <t>FAQ-010</t>
  </si>
  <si>
    <t>#VALOR_CONSULTA</t>
  </si>
  <si>
    <t>¿Qué precio tiene la consulta médica general y la de especialidad?</t>
  </si>
  <si>
    <t>La consulta general tiene un valor de $20 y las consultas de especialidad médica (Cardiología, Dermatología, Ginecología) $40. ¿Deseas turno para alguna en específico?</t>
  </si>
  <si>
    <t>BOT.send_price_list('Medicina_Tarifas')</t>
  </si>
  <si>
    <t>{consulta: 'precios_consulta'}</t>
  </si>
  <si>
    <t>FAQ-011</t>
  </si>
  <si>
    <t>#CONVENIO_ASEGURADORAS</t>
  </si>
  <si>
    <t>¿Trabajan con seguro médico de Mapfre, BMI o SaludSA?</t>
  </si>
  <si>
    <t>Sí, atendemos mediante convenio directo con BMI y SaludSA. Para Mapfre emitimos la factura detallada y formulario para reembolso directo. ¿Qué seguro posees?</t>
  </si>
  <si>
    <t>CRM.tag_lead('Seguro_' + insurance) + BOT.send_info('Convenios')</t>
  </si>
  <si>
    <t>{aseguradora: 'Mapfre/BMI/SaludSA'}</t>
  </si>
  <si>
    <t>FAQ-012</t>
  </si>
  <si>
    <t>#RESULTADO_LABORATORIO</t>
  </si>
  <si>
    <t>¿Cómo puedo descargar mis resultados de análisis de sangre?</t>
  </si>
  <si>
    <t>Puedes descargarlos ingresando a nuestro portal web [Link Portal] con tu cédula y la clave enviada a tu correo, o indicarme tu número de cédula para enviártelos por PDF.</t>
  </si>
  <si>
    <t>API_LAB.fetch_results(patient_id) -&gt; Send PDF</t>
  </si>
  <si>
    <t>{solicitud: 'resultados_laboratorio'}</t>
  </si>
  <si>
    <t>FAQ-013</t>
  </si>
  <si>
    <t>#BLANQUEAMIENTO_DENTAL</t>
  </si>
  <si>
    <t>¿El blanqueamiento dental duele o produce sensibilidad?</t>
  </si>
  <si>
    <t>Usamos tecnología de gel desensibilizante que minimiza las molestias. Se realiza en 1 sola sesión de 1 hora. El valor promocional es de $80. ¿Te agendamos un espacio?</t>
  </si>
  <si>
    <t>BOT.send_info('Blanqueamiento_Laser')</t>
  </si>
  <si>
    <t>{tratamiento: 'blanqueamiento dental'}</t>
  </si>
  <si>
    <t>FAQ-014</t>
  </si>
  <si>
    <t>#DISENO_SONRISA</t>
  </si>
  <si>
    <t>¿Cuánto dura el tratamiento de diseño de sonrisa con carillas?</t>
  </si>
  <si>
    <t>Toma generalmente de 2 a 3 citas desde la valoración, simulación digital hasta la colocación final. ¿Te gustaría agendar una valoración sin costo para evaluarte?</t>
  </si>
  <si>
    <t>CRM.create_lead(category='DisenoSonrisa') -&gt; API_DENTAL.book_assessment()</t>
  </si>
  <si>
    <t>{tratamiento: 'diseno de sonrisa/carillas'}</t>
  </si>
  <si>
    <t>FAQ-015</t>
  </si>
  <si>
    <t>#RESULTADO_IMAGENES</t>
  </si>
  <si>
    <t>¿Ya están listos los resultados de mi resonancia magnética?</t>
  </si>
  <si>
    <t>Déjame consultar con el área de Radiología. Indícame tu cédula o número de orden médica para darte el estado del informe.</t>
  </si>
  <si>
    <t>API_PACS.check_status(order_id)</t>
  </si>
  <si>
    <t>{estudio: 'resonancia magnetica'}</t>
  </si>
  <si>
    <t>FAQ-016</t>
  </si>
  <si>
    <t>#UBICACION_SUCURSALES</t>
  </si>
  <si>
    <t>¿En qué dirección queda la clínica y en qué piso atienden Oftalmología?</t>
  </si>
  <si>
    <t>Estamos ubicados en Av. Principal #123. Oftalmología atiende en el Piso 3, Consultorio 302. ¿Necesitas el enlace de Google Maps?</t>
  </si>
  <si>
    <t>BOT.send_location_pin()</t>
  </si>
  <si>
    <t>{consulta: 'ubicacion_clinica'}</t>
  </si>
  <si>
    <t>FAQ-017</t>
  </si>
  <si>
    <t>#METODOS_PAGO_CLINICA</t>
  </si>
  <si>
    <t>¿Puedo pagar las consultas con tarjeta de crédito a diferido?</t>
  </si>
  <si>
    <t>Aceptamos efectivo, tarjetas de débito y crédito. Para montos superiores a $100 en tratamientos o cirugías ofrecemos diferido a 3 y 6 meses sin intereses.</t>
  </si>
  <si>
    <t>BOT.send_info('Metodos_Pago')</t>
  </si>
  <si>
    <t>{consulta: 'pagos_diferido'}</t>
  </si>
  <si>
    <t>FAQ-018</t>
  </si>
  <si>
    <t>#REPARACION_PROTESIS</t>
  </si>
  <si>
    <t>Se me rompió la prótesis dental, ¿la pueden reparar el mismo día?</t>
  </si>
  <si>
    <t>¡Sí! Contamos con laboratorio dental propio y hacemos reparaciones express de prótesis en 3 a 4 horas. Traela a nuestra clínica antes de las 11:00 AM.</t>
  </si>
  <si>
    <t>NOTIFY.dental_lab('Reparacion_Express') + API_DENTAL.book_quick_slot()</t>
  </si>
  <si>
    <t>{servicio: 'reparacion protesis'}</t>
  </si>
  <si>
    <t>FAQ-019</t>
  </si>
  <si>
    <t>#CERTIFICADO_MEDICO</t>
  </si>
  <si>
    <t>Necesito un certificado médico de reposo para mi trabajo.</t>
  </si>
  <si>
    <t>Los certificados médicos de reposo los emite el médico tratante al culminar la consulta tras la evaluación correspondiente. ¿Deseas agendar consulta hoy?</t>
  </si>
  <si>
    <t>BOT.send_info('Politica_Certificados')</t>
  </si>
  <si>
    <t>{solicitud: 'certificado medico'}</t>
  </si>
  <si>
    <t>FAQ-020</t>
  </si>
  <si>
    <t>#VACUNACIÓN_INFANTIL</t>
  </si>
  <si>
    <t>¿Tienen disponible la vacuna del papiloma humano o la influenza?</t>
  </si>
  <si>
    <t>Sí, disponemos del esquema completo de vacunación infantil y para adultos. La vacuna de influenza sale en $15. ¿Para quién sería la aplicación?</t>
  </si>
  <si>
    <t>API_PHARMA.check_vaccine_stock()</t>
  </si>
  <si>
    <t>{vacuna: 'influenza/hpv'}</t>
  </si>
  <si>
    <t>FAQ-021</t>
  </si>
  <si>
    <t>#TELEMEDICINA</t>
  </si>
  <si>
    <t>¿Ofrecen consultas médicas virtuales por videollamada?</t>
  </si>
  <si>
    <t>¡Sí! Ofrecemos telemedicina para Medicina General, Nutrición y Psicología. Te enviamos el link de pago y el acceso a Zoom una vez confirmado.</t>
  </si>
  <si>
    <t>API_TELEMED.generate_room() + API_PAYMENT.send_link()</t>
  </si>
  <si>
    <t>{modalidad: 'telemedicina/virtual'}</t>
  </si>
  <si>
    <t>FAQ-022</t>
  </si>
  <si>
    <t>#GUARDAS_BRUXISMO</t>
  </si>
  <si>
    <t>Aprieto mucho los dientes de noche y despierto con dolor de cabeza.</t>
  </si>
  <si>
    <t>Es muy probable que sufras de bruxismo. Necesitas una placa o guarda oclusal para proteger tus dientes. ¿Agendamos una cita para tomar la impresión?</t>
  </si>
  <si>
    <t>CRM.tag_lead('Bruxismo') + API_DENTAL.book_assessment()</t>
  </si>
  <si>
    <t>{sintoma: 'bruxismo/dolor cabeza'}</t>
  </si>
  <si>
    <t>FAQ-023</t>
  </si>
  <si>
    <t>#CIRUGIA_AMBULATORIA</t>
  </si>
  <si>
    <t>¿Cuáles son los pasos para programar una cirugía ambulatoria?</t>
  </si>
  <si>
    <t>Debes contar primero con la orden del cirujano, los exámenes prequirúrgicos y la valoración anestésica. ¿Ya posees los exámenes aprobados?</t>
  </si>
  <si>
    <t>CRM.create_surgery_protocol()</t>
  </si>
  <si>
    <t>{solicitud: 'cirugia ambulatoria'}</t>
  </si>
  <si>
    <t>FAQ-024</t>
  </si>
  <si>
    <t>#VISITAS_HOSPITALIZACION</t>
  </si>
  <si>
    <t>¿Cuál es el horario de visitas para pacientes ingresados en habitación?</t>
  </si>
  <si>
    <t>El horario de visitas en hospitalización piso es de 10:00 AM a 7:00 PM (máximo 2 visitantes por habitación simultáneamente).</t>
  </si>
  <si>
    <t>BOT.send_info('Reglamento_Hospitalizacion')</t>
  </si>
  <si>
    <t>{consulta: 'horarios visita'}</t>
  </si>
  <si>
    <t>FAQ-025</t>
  </si>
  <si>
    <t>#ATENCION_URGENCIAS_24H</t>
  </si>
  <si>
    <t>¿El área de emergencias atiende las 24 horas del día?</t>
  </si>
  <si>
    <t>¡Sí! Nuestro servicio de Urgencias y Emergencias Médicas funciona las 24 horas, los 365 días del año con especialistas de turno.</t>
  </si>
  <si>
    <t>BOT.send_location_pin(type='Urgencias')</t>
  </si>
  <si>
    <t>{consulta: 'urgencias 24h'}</t>
  </si>
  <si>
    <t>FAQ-026</t>
  </si>
  <si>
    <t>Restaurante</t>
  </si>
  <si>
    <t>#RESERVA_MESA</t>
  </si>
  <si>
    <t>Hola, me gustaría reservar una mesa para 6 personas este sábado a las 8:30 pm.</t>
  </si>
  <si>
    <t>¡Hola! Con gusto. Dejame verificar disponibilidad para este sábado a las 8:30 PM para 6 personas. ¿A qué nombre registro la reserva?</t>
  </si>
  <si>
    <t>API_RESERVAS.check(date='sabado', time='20:30', pax=6)</t>
  </si>
  <si>
    <t>{fecha: 'sabado', hora: '20:30', personas: 6}</t>
  </si>
  <si>
    <t>FAQ-027</t>
  </si>
  <si>
    <t>#CARTA_MENU_PDF</t>
  </si>
  <si>
    <t>¿Tienen el menú digital con fotos y precios?</t>
  </si>
  <si>
    <t>¡Por supuesto! Te adjunto el enlace a nuestro menú interactivo: [Link Menu]. También puedes ver los vinos y postres de temporada.</t>
  </si>
  <si>
    <t>BOT.send_link('https://menu.restaurante.com')</t>
  </si>
  <si>
    <t>{solicitud: 'menu digital'}</t>
  </si>
  <si>
    <t>FAQ-028</t>
  </si>
  <si>
    <t>#PEDIDO_DELIVERY_RAPIDO</t>
  </si>
  <si>
    <t>Quiero pedir una hamburguesa doble con queso y papas para enviar a domicilio.</t>
  </si>
  <si>
    <t>¡Excelente! La Hamburguesa Doble Queso con papas cuesta $11.50. Indícame tu dirección de entrega para calcular el envío.</t>
  </si>
  <si>
    <t>CRM.start_delivery_order()</t>
  </si>
  <si>
    <t>{producto: 'hamburguesa doble', envio: 'domicilio'}</t>
  </si>
  <si>
    <t>FAQ-029</t>
  </si>
  <si>
    <t>#PEDIDO_PARA_LLEVAR</t>
  </si>
  <si>
    <t>Quiero hacer un pedido para retirar en el local en 30 minutos.</t>
  </si>
  <si>
    <t>¡Listo! Indícame qué platillos deseas llevar y te los tendremos empaquetados y calientes a la hora acordada.</t>
  </si>
  <si>
    <t>API_POS.create_takeaway_order()</t>
  </si>
  <si>
    <t>{modalidad: 'takeaway/para llevar'}</t>
  </si>
  <si>
    <t>FAQ-030</t>
  </si>
  <si>
    <t>#ALERGENOS_INTOLERANCIAS</t>
  </si>
  <si>
    <t>Soy celíaco, ¿tienen platos preparados en cocina separada sin gluten?</t>
  </si>
  <si>
    <t>Contamos con platillos certificados 'Gluten Free' preparados bajo estricto protocolo para evitar contaminación cruzada. Te envío la carta especial.</t>
  </si>
  <si>
    <t>BOT.send_pdf('Menu_Sin_Gluten.pdf')</t>
  </si>
  <si>
    <t>{condicion: 'celiaquia/sin gluten'}</t>
  </si>
  <si>
    <t>FAQ-031</t>
  </si>
  <si>
    <t>#PROMO_HAPPY_HOUR</t>
  </si>
  <si>
    <t>¿Tienen promoción de Happy Hour en cocteles hoy?</t>
  </si>
  <si>
    <t>¡Sí! De lunes a viernes de 5:00 PM a 8:00 PM tenemos 2x1 en margaritas, mojitos y cerveza artesanal de la casa.</t>
  </si>
  <si>
    <t>BOT.send_info('Promos_HappyHour')</t>
  </si>
  <si>
    <t>{interes: 'happy hour/2x1'}</t>
  </si>
  <si>
    <t>FAQ-032</t>
  </si>
  <si>
    <t>#PLATOS_NIÑOS</t>
  </si>
  <si>
    <t>¿Tienen menú infantil o zona de juegos para niños?</t>
  </si>
  <si>
    <t>¡Sí! Ofrecemos Menú Kids con nuggets, mini hamburguesas y pastas. Además contamos con un área infantil supervisada los fines de semana.</t>
  </si>
  <si>
    <t>BOT.send_info('Servicios_Familiares')</t>
  </si>
  <si>
    <t>{consulta: 'menu infantil/zona niños'}</t>
  </si>
  <si>
    <t>FAQ-033</t>
  </si>
  <si>
    <t>#CORCHO_LIBRE</t>
  </si>
  <si>
    <t>¿Puedo llevar mi propio vino al restaurante y cuánto cobran por descorche?</t>
  </si>
  <si>
    <t>¡Bienvenido! El costo de descorche por botella de vino es de $15. De martes a jueves el primer descorche es totalmente gratis.</t>
  </si>
  <si>
    <t>BOT.send_info('Politica_Descorche')</t>
  </si>
  <si>
    <t>{consulta: 'descorche/vino'}</t>
  </si>
  <si>
    <t>FAQ-034</t>
  </si>
  <si>
    <t>#PET_FRIENDLY_REST</t>
  </si>
  <si>
    <t>¿Se puede ingresar con mascota a las mesas de la terraza?</t>
  </si>
  <si>
    <t>¡Claro que sí! Nuestra terraza exterior es 100% Pet Friendly. Les brindamos plato con agua fresca a tus peluditos.</t>
  </si>
  <si>
    <t>BOT.send_info('Terraza_PetFriendly')</t>
  </si>
  <si>
    <t>{consulta: 'pet friendly'}</t>
  </si>
  <si>
    <t>FAQ-035</t>
  </si>
  <si>
    <t>#PEDIDO_CUMPLEAÑOS</t>
  </si>
  <si>
    <t>Si voy a celebrar mi cumpleaños con ustedes, ¿regalan algún postre?</t>
  </si>
  <si>
    <t>¡Feliz cumpleaños por adelantado! 🎉 Al cumpleañero le obsequiamos un postre especial con vela y la cortesía de la casa.</t>
  </si>
  <si>
    <t>CRM.add_booking_note('Festejo Cumpleaños')</t>
  </si>
  <si>
    <t>{motivo: 'cumpleaños'}</t>
  </si>
  <si>
    <t>FAQ-036</t>
  </si>
  <si>
    <t>#CATERING_EMPRESARIAL</t>
  </si>
  <si>
    <t>Necesito un servicio de catering de bocaditos para una reunión de 40 personas.</t>
  </si>
  <si>
    <t>Ofrecemos tablas de quesos, bocaditos gourmet fríos y calientes. Te enviamos nuestro catálogo corporativo de catering.</t>
  </si>
  <si>
    <t>TRIGGER.transfer_to_agent('Catering') + CRM.create_lead()</t>
  </si>
  <si>
    <t>{servicio: 'catering empresarial', personas: 40}</t>
  </si>
  <si>
    <t>FAQ-037</t>
  </si>
  <si>
    <t>#METODOS_PAGO_REST</t>
  </si>
  <si>
    <t>¿Aceptan tarjetas de débito, crédito o transferencia bancaria?</t>
  </si>
  <si>
    <t>Aceptamos todas las tarjetas de débito/crédito, efectivo y transferencias (Deuna/Zelle). Te enviamos el código QR si deseas pagar en línea.</t>
  </si>
  <si>
    <t>BOT.send_bank_details()</t>
  </si>
  <si>
    <t>{consulta: 'metodos pago'}</t>
  </si>
  <si>
    <t>FAQ-038</t>
  </si>
  <si>
    <t>#ESTADO_PEDIDO_DELIVERY</t>
  </si>
  <si>
    <t>Hice un pedido hace 45 minutos y no llega, ¿dónde viene el motorizado?</t>
  </si>
  <si>
    <t>Déjame consultar con la central de entregas. Por favor dime el número de orden o el teléfono con el que pediste.</t>
  </si>
  <si>
    <t>API_DELIVERY.get_status(phone)</t>
  </si>
  <si>
    <t>{solicitud: 'rastreo pedido comida'}</t>
  </si>
  <si>
    <t>FAQ-039</t>
  </si>
  <si>
    <t>#FACTURA_CONSUMO</t>
  </si>
  <si>
    <t>Necesito solicitar la factura electrónica de mi consumo de anoche.</t>
  </si>
  <si>
    <t>Con gusto. Envíanos la foto de tu comprobante de pago junto con tu RUC/Cédula, Razón Social y Correo Electrónico.</t>
  </si>
  <si>
    <t>CRM.collect_billing_data()</t>
  </si>
  <si>
    <t>{solicitud: 'factura electronica'}</t>
  </si>
  <si>
    <t>FAQ-040</t>
  </si>
  <si>
    <t>#RESERVA_DEPOSITOS</t>
  </si>
  <si>
    <t>¿Piden algún abono para reservar mesas de más de 10 personas?</t>
  </si>
  <si>
    <t>Para grupos de 10 o más personas solicitamos un abono consumible del 30% para asegurar el espacio y la atención personalizada.</t>
  </si>
  <si>
    <t>BOT.send_payment_link(type='Abono_Reserva')</t>
  </si>
  <si>
    <t>{personas: '&gt;10', accion: 'abono'}</t>
  </si>
  <si>
    <t>FAQ-041</t>
  </si>
  <si>
    <t>#HORARIO_COCINA</t>
  </si>
  <si>
    <t>¿A qué hora cierra la cocina del restaurante?</t>
  </si>
  <si>
    <t>El restaurante atiende hasta las 11:00 PM, pero la cocina recibe últimos pedidos hasta las 10:15 PM. ¡Te esperamos a tiempo!</t>
  </si>
  <si>
    <t>BOT.send_info('Horarios_Cocina')</t>
  </si>
  <si>
    <t>{consulta: 'cierre cocina'}</t>
  </si>
  <si>
    <t>FAQ-042</t>
  </si>
  <si>
    <t>#BUFFET_ALMUERZO</t>
  </si>
  <si>
    <t>¿Tienen opción de almuerzo ejecutivo o buffet de lunes a viernes?</t>
  </si>
  <si>
    <t>¡Sí! Servimos almuerzo ejecutivo de 12:00 PM a 3:00 PM con entrada, plato fuerte, bebida y postre por solo $6.50.</t>
  </si>
  <si>
    <t>BOT.send_info('Menu_Ejecutivo')</t>
  </si>
  <si>
    <t>{oferta: 'almuerzo ejecutivo'}</t>
  </si>
  <si>
    <t>FAQ-043</t>
  </si>
  <si>
    <t>#RESERVA_CANDLELIGHT</t>
  </si>
  <si>
    <t>Quiero una mesa decorada con velas y flores para aniversario.</t>
  </si>
  <si>
    <t>¡Qué hermoso detalle! Ofrecemos el paquete Romántico por $20 adicionales (incluye montaje con velas, pétalos y copas de cava).</t>
  </si>
  <si>
    <t>API_RESERVAS.add_addon('Paquete_Romantico')</t>
  </si>
  <si>
    <t>{motivo: 'aniversario/romantico'}</t>
  </si>
  <si>
    <t>FAQ-044</t>
  </si>
  <si>
    <t>#PLATOS_ESTRELLA</t>
  </si>
  <si>
    <t>¿Cuál es el plato estrella o más vendido del restaurante?</t>
  </si>
  <si>
    <t>Nuestro plato insignia es el Tomahawk a la Parrilla de 800g y el Risotto de Hongos Trufados. ¡Una experiencia gastronómica imperdible!</t>
  </si>
  <si>
    <t>BOT.send_info('Especialidades_Chef')</t>
  </si>
  <si>
    <t>{consulta: 'plato estrella'}</t>
  </si>
  <si>
    <t>FAQ-045</t>
  </si>
  <si>
    <t>#MODIFICAR_RESERVA</t>
  </si>
  <si>
    <t>Necesito cambiar mi reserva de hoy para 4 personas en lugar de 2.</t>
  </si>
  <si>
    <t>Déjame verificar si tenemos mesa para 4 en tu mismo horario. ¿A qué nombre figura la reserva inicial?</t>
  </si>
  <si>
    <t>API_RESERVAS.update_pax(id, new_pax=4)</t>
  </si>
  <si>
    <t>{accion: 'modificar reserva'}</t>
  </si>
  <si>
    <t>FAQ-046</t>
  </si>
  <si>
    <t>Spa / Peluquería</t>
  </si>
  <si>
    <t>#RESERVA_PELUQUERIA</t>
  </si>
  <si>
    <t>Quiero un turno para balayage y tinte este viernes a las 10 am.</t>
  </si>
  <si>
    <t>¡Hola! El servicio de Balayage requiere unas 3 horas. Déjame revisar el sillón técnico con nuestros coloristas para el viernes a esa hora.</t>
  </si>
  <si>
    <t>API_AGENDA.get_stylist_slots(service='Balayage')</t>
  </si>
  <si>
    <t>{servicio: 'balayage/tinte', fecha: 'viernes'}</t>
  </si>
  <si>
    <t>FAQ-047</t>
  </si>
  <si>
    <t>#CITA_MASAJE_PAREJA</t>
  </si>
  <si>
    <t>Quiero consultar por un paquete de masaje en pareja para fin de semana.</t>
  </si>
  <si>
    <t>¡Excelente! Nuestro paquete 'Duet Spa' incluye 60 min de masaje, aromaterapia, jacuzzi y copas de vino por $110 total. ¿Te reservamos?</t>
  </si>
  <si>
    <t>API_SPA.get_double_room_slots()</t>
  </si>
  <si>
    <t>{servicio: 'masaje pareja'}</t>
  </si>
  <si>
    <t>FAQ-048</t>
  </si>
  <si>
    <t>#MANICURE_PEDICURE</t>
  </si>
  <si>
    <t>¿Tienen espacio hoy en la tarde para manicure y pedicure ruso o semipermanente?</t>
  </si>
  <si>
    <t>Para hoy tenemos disponible un turno a las 4:00 PM con nuestras especialistas de uñas. ¿Te apartamos ese espacio?</t>
  </si>
  <si>
    <t>API_AGENDA.book_slot(service='Manicure')</t>
  </si>
  <si>
    <t>{servicio: 'manicure/pedicure'}</t>
  </si>
  <si>
    <t>FAQ-049</t>
  </si>
  <si>
    <t>#PRECIOS_DEPILACION_LASER</t>
  </si>
  <si>
    <t>¿Cuánto cuesta la sesión de depilación láser diodo cuerpo entero?</t>
  </si>
  <si>
    <t>La sesión de cuerpo entero promocional cuesta $79 (incluye piernas, axilas y zona íntima). Ofrecemos paquete de 6 sesiones con descuento.</t>
  </si>
  <si>
    <t>BOT.send_info('Precios_Laser')</t>
  </si>
  <si>
    <t>{tratamiento: 'depilacion laser'}</t>
  </si>
  <si>
    <t>FAQ-050</t>
  </si>
  <si>
    <t>#TRATAMIENTO_CAPILAR</t>
  </si>
  <si>
    <t>Tengo el cabello muy seco y maltratado, ¿qué tratamiento me recomiendan?</t>
  </si>
  <si>
    <t>Te recomendamos una Repolarización Capilar Profunda o un Botox Capilar para restaurar el brillo y la hebra. Cuesta $35. ¿Agendamos valoración?</t>
  </si>
  <si>
    <t>CRM.tag_lead('Capilar') + API_AGENDA.show_slots()</t>
  </si>
  <si>
    <t>{sintoma: 'cabello maltratado'}</t>
  </si>
  <si>
    <t>FAQ-051</t>
  </si>
  <si>
    <t>#DISPONIBILIDAD_HOY</t>
  </si>
  <si>
    <t>¿Tienen algún hueco libre hoy mismo después de las 6 pm para corte?</t>
  </si>
  <si>
    <t>¡Sí! Se acaba de liberar un turno a las 6:30 PM con nuestro estilista principal. ¿A qué nombre te anotamos?</t>
  </si>
  <si>
    <t>API_AGENDA.get_immediate_slots()</t>
  </si>
  <si>
    <t>{disponibilidad: 'hoy tarde'}</t>
  </si>
  <si>
    <t>FAQ-052</t>
  </si>
  <si>
    <t>#CUIDADO_POST_KERATINA</t>
  </si>
  <si>
    <t>Me hice la keratina ayer, ¿a los cuántos días me puedo lavar el cabello?</t>
  </si>
  <si>
    <t>Debes esperar 72 horas (3 días) sin lavarlo ni sujetarlo con ligas gruesas. Lava con champú sin sal y sulfatos. ¡Te enviamos la guía!</t>
  </si>
  <si>
    <t>BOT.send_pdf('Guia_Cuidados_Keratina.pdf')</t>
  </si>
  <si>
    <t>{post_servicio: 'keratina'}</t>
  </si>
  <si>
    <t>FAQ-053</t>
  </si>
  <si>
    <t>#PAQUETE_NOVIA</t>
  </si>
  <si>
    <t>Necesito cotizar un paquete completo de peinado, maquillaje y prueba para novia.</t>
  </si>
  <si>
    <t>¡Felicidades! Contamos con el Plan Bridal VIP que incluye prueba de peinado, maquillaje HD, velo, spa de manos y bata de obsequio.</t>
  </si>
  <si>
    <t>TRIGGER.transfer_to_agent('Especialista Novias')</t>
  </si>
  <si>
    <t>{servicio: 'paquete novia'}</t>
  </si>
  <si>
    <t>FAQ-054</t>
  </si>
  <si>
    <t>#FACIAL_ANTIACNE</t>
  </si>
  <si>
    <t>¿La limpieza facial incluye extracción de puntos negros y alta frecuencia?</t>
  </si>
  <si>
    <t>¡Sí! Nuestra limpieza facial profunda incluye vaporozono, exfoliación, extracción manual cuidadosa, alta frecuencia bactericida y mascarilla LED.</t>
  </si>
  <si>
    <t>BOT.send_info('Detalle_Facial')</t>
  </si>
  <si>
    <t>{tratamiento: 'facial antiacne'}</t>
  </si>
  <si>
    <t>FAQ-055</t>
  </si>
  <si>
    <t>#PRODUCTOS_VENTA</t>
  </si>
  <si>
    <t>¿Venden productos para el cuidado en casa como Olaplex o Kérastase?</t>
  </si>
  <si>
    <t>¡Sí! Somos distribuidores autorizados de Kérastase, Olaplex y Moroccanoil. Contamos con envíos a domicilio o retiro en local.</t>
  </si>
  <si>
    <t>BOT.send_catalog('Productos_Capilares')</t>
  </si>
  <si>
    <t>{producto: 'Olaplex/Kerastase'}</t>
  </si>
  <si>
    <t>FAQ-056</t>
  </si>
  <si>
    <t>#CANCELLATION_POLICY_SPA</t>
  </si>
  <si>
    <t>¿Con cuánta anticipación debo cancelar mi cita de spa sin penalización?</t>
  </si>
  <si>
    <t>Puedes cancelar o reprogramar sin costo hasta con 24 horas de anticipación. Cancelaciones con menos tiempo pueden perder el abono de reserva.</t>
  </si>
  <si>
    <t>BOT.send_info('Politicas_Citas')</t>
  </si>
  <si>
    <t>{consulta: 'politica cancelacion'}</t>
  </si>
  <si>
    <t>FAQ-057</t>
  </si>
  <si>
    <t>#EXTENSIONES_PESTAÑAS</t>
  </si>
  <si>
    <t>¿Cuánto duran las extensiones de pestañas pelo a pelo y cuál es su costo?</t>
  </si>
  <si>
    <t>La aplicación completa de efecto rímel o volumen ruso cuesta $45. Duran de 3 a 4 semanas según el cuidado personal. ¿Agendamos?</t>
  </si>
  <si>
    <t>API_AGENDA.get_slots(service='Pestanas')</t>
  </si>
  <si>
    <t>{servicio: 'extensiones pestañas'}</t>
  </si>
  <si>
    <t>FAQ-058</t>
  </si>
  <si>
    <t>#MADEROTERAPIA_REDUCTORA</t>
  </si>
  <si>
    <t>¿La maderoterapia o los masajes reductores ayudan a reducir medidas?</t>
  </si>
  <si>
    <t>¡Así es! Los masajes reductores combinados con maderoterapia moldean la figura y eliminan retención de líquidos. Recomendamos paquetes de 10 sesiones.</t>
  </si>
  <si>
    <t>BOT.send_info('Paquetes_Reductores')</t>
  </si>
  <si>
    <t>{tratamiento: 'maderoterapia/reductores'}</t>
  </si>
  <si>
    <t>FAQ-059</t>
  </si>
  <si>
    <t>#LIFTING_PESTAÑAS</t>
  </si>
  <si>
    <t>¿Cuál es la diferencia entre lifting de pestañas y extensiones?</t>
  </si>
  <si>
    <t>El lifting riza y nutre tus pestañas naturales con queratina sin añadir pelo sintético. Dura aproximadamente 1 mes y medio. Cuesta $25.</t>
  </si>
  <si>
    <t>BOT.send_info('Lifting_vs_Extensiones')</t>
  </si>
  <si>
    <t>{consulta: 'lifting vs extensiones'}</t>
  </si>
  <si>
    <t>FAQ-060</t>
  </si>
  <si>
    <t>#PAGO_ABONO_CITA</t>
  </si>
  <si>
    <t>Intenté agendar en la web pero me pide un abono de $10, ¿es seguro?</t>
  </si>
  <si>
    <t>¡Sí! El abono de $10 se descuenta del total de tu servicio el día de tu cita. Es nuestra garantía para asegurar la logística del personal.</t>
  </si>
  <si>
    <t>BOT.send_info('Abono_Seguro')</t>
  </si>
  <si>
    <t>{consulta: 'seguridad abono'}</t>
  </si>
  <si>
    <t>FAQ-061</t>
  </si>
  <si>
    <t>#SUCURSAL_MAS_CERCANA</t>
  </si>
  <si>
    <t>¿Tienen sucursal en el sector norte de la ciudad?</t>
  </si>
  <si>
    <t>Contamos con 2 sucursales: Sector Norte (C.C. Paseo) y Sector Cumbayá/Sur. ¿Cuál te resulta más conveniente?</t>
  </si>
  <si>
    <t>BOT.send_locations_list()</t>
  </si>
  <si>
    <t>{consulta: 'sucursales spa'}</t>
  </si>
  <si>
    <t>FAQ-062</t>
  </si>
  <si>
    <t>#MEMBRESIA_SPA</t>
  </si>
  <si>
    <t>¿Tienen pases mensuales o membresías VIP de peluquería?</t>
  </si>
  <si>
    <t>¡Sí! Nuestra membresía 'Beauty Pass' incluye 4 cepillados/secados al mes + 1 manicure gratis por solo $49/mes.</t>
  </si>
  <si>
    <t>BOT.send_info('Membresias_Beauty')</t>
  </si>
  <si>
    <t>{oferta: 'membresia beauty'}</t>
  </si>
  <si>
    <t>FAQ-063</t>
  </si>
  <si>
    <t>#ATENCION_HOMBRES</t>
  </si>
  <si>
    <t>¿En la peluquería también atienden barba y cortes para caballeros?</t>
  </si>
  <si>
    <t>¡Por supuesto! Contamos con área de Barbería Gourmet exclusiva para caballeros con corte, arreglo de barba, exfoliación y cerveza fría.</t>
  </si>
  <si>
    <t>BOT.send_info('Servicios_Barberia')</t>
  </si>
  <si>
    <t>{servicio: 'barberia hombres'}</t>
  </si>
  <si>
    <t>FAQ-064</t>
  </si>
  <si>
    <t>#GIFT_CARD_IMPRESA</t>
  </si>
  <si>
    <t>Quiero comprar una Gift Card física en cajita de regalo.</t>
  </si>
  <si>
    <t>Puedes pasar a retirarla lista en caja decorada con lazo o te la enviamos por courier exprés a la dirección del agasajado.</t>
  </si>
  <si>
    <t>CRM.create_giftcard_order(delivery=true)</t>
  </si>
  <si>
    <t>{producto: 'giftcard fisica'}</t>
  </si>
  <si>
    <t>FAQ-065</t>
  </si>
  <si>
    <t>#MICROBLADING_CEJAS</t>
  </si>
  <si>
    <t>¿El microblading de cejas duele y cuánto tiempo dura el efecto?</t>
  </si>
  <si>
    <t>Se aplica anestesia tópica antes y durante el proceso para cero dolor. El resultado dura entre 12 y 18 meses. Cuesta $120 (incluye retoque).</t>
  </si>
  <si>
    <t>CRM.tag_lead('Microblading') + API_AGENDA.show_slots()</t>
  </si>
  <si>
    <t>{tratamiento: 'microblading cejas'}</t>
  </si>
  <si>
    <t>FAQ-066</t>
  </si>
  <si>
    <t>Comercio / Tienda</t>
  </si>
  <si>
    <t>#ESTADO_ENVIOS</t>
  </si>
  <si>
    <t>Quiero saber el estado de mi compra #10492.</t>
  </si>
  <si>
    <t>¡Hola! Tu pedido #10492 fue despachado hoy por la mañana y se encuentra en camino. Guía de rastreo: #SERV-99204.</t>
  </si>
  <si>
    <t>API_LOGISTICS.get_tracking('10492')</t>
  </si>
  <si>
    <t>{orden_id: '10492'}</t>
  </si>
  <si>
    <t>FAQ-067</t>
  </si>
  <si>
    <t>#DISPONIBILIDAD_TALLAS</t>
  </si>
  <si>
    <t>¿Tienen la chaqueta de jeans en talla L?</t>
  </si>
  <si>
    <t>Déjame revisar stock... ¡Sí! Nos quedan 3 unidades en talla L en nuestro almacén principal. Cuesta $45.</t>
  </si>
  <si>
    <t>API_INVENTORY.check_stock(item='Chaqueta Jeans', size='L')</t>
  </si>
  <si>
    <t>{producto: 'chaqueta jeans', talla: 'L'}</t>
  </si>
  <si>
    <t>FAQ-068</t>
  </si>
  <si>
    <t>#CAMBIO_DE_PRENDA</t>
  </si>
  <si>
    <t>La camiseta que compré por internet me quedó grande, ¿cómo hago el cambio?</t>
  </si>
  <si>
    <t>Puedes cambiarla en cualquiera de nuestras tiendas físicas presentando tu factura en un plazo de 30 días, o solicitar cambio por envío.</t>
  </si>
  <si>
    <t>BOT.send_instructions('Politica_Cambios')</t>
  </si>
  <si>
    <t>{tramite: 'cambio prenda'}</t>
  </si>
  <si>
    <t>FAQ-069</t>
  </si>
  <si>
    <t>#ENVIO_GRATIS</t>
  </si>
  <si>
    <t>¿A partir de qué monto de compra el envío es gratis?</t>
  </si>
  <si>
    <t>Ofrecemos Envío Gratis a todo el país en compras superiores a $50. Para montos menores, el costo de envío es de $3.50.</t>
  </si>
  <si>
    <t>BOT.send_info('Tarifas_Envio')</t>
  </si>
  <si>
    <t>{consulta: 'envio gratis'}</t>
  </si>
  <si>
    <t>FAQ-070</t>
  </si>
  <si>
    <t>#CATALOGO_WHATSAPP</t>
  </si>
  <si>
    <t>¿Tienen catálogo en PDF o tienda en Instagram?</t>
  </si>
  <si>
    <t>¡Sí! Puedes explorar nuestro catálogo actualizado aquí: [Link Tienda] con pago directo y carrito de compras.</t>
  </si>
  <si>
    <t>BOT.send_link('https://tienda.com/catalogo')</t>
  </si>
  <si>
    <t>{solicitud: 'catalogo digital'}</t>
  </si>
  <si>
    <t>FAQ-071</t>
  </si>
  <si>
    <t>#TIENDA_FISICA_HORARIO</t>
  </si>
  <si>
    <t>¿A qué hora abren y cierran el local del Centro Comercial?</t>
  </si>
  <si>
    <t>Atendemos de Lunes a Sábado de 10:00 AM a 8:30 PM y Domingos de 11:00 AM a 7:00 PM.</t>
  </si>
  <si>
    <t>BOT.send_info('Horarios_Locales')</t>
  </si>
  <si>
    <t>{consulta: 'horario local'}</t>
  </si>
  <si>
    <t>FAQ-072</t>
  </si>
  <si>
    <t>#FACTURACION_DATOS</t>
  </si>
  <si>
    <t>Necesito factura con RUC de empresa para mi pedido.</t>
  </si>
  <si>
    <t>Por favor envíame: RUC, Razón Social, Dirección y Correo electrónico para emitir tu factura electrónica.</t>
  </si>
  <si>
    <t>{solicitud: 'factura RUC'}</t>
  </si>
  <si>
    <t>FAQ-073</t>
  </si>
  <si>
    <t>#GARANTIA_PRODUCTO</t>
  </si>
  <si>
    <t>Compré un electrodoméstico hace 2 semanas y dejó de encender.</t>
  </si>
  <si>
    <t>Lamentamos lo sucedido. Todos nuestros artículos cuentan con 1 año de garantía oficial. Te derivamos con Servicio Técnico.</t>
  </si>
  <si>
    <t>CRM.create_ticket_warranty()</t>
  </si>
  <si>
    <t>{caso: 'garantia/fallo'}</t>
  </si>
  <si>
    <t>FAQ-074</t>
  </si>
  <si>
    <t>#CANCELAR_ORDEN</t>
  </si>
  <si>
    <t>Quiero cancelar una compra que hice hace 1 hora por error.</t>
  </si>
  <si>
    <t>Verificaremos si tu pedido no ha entrado en empaquetado. Indícame tu número de orden para procesar la cancelación.</t>
  </si>
  <si>
    <t>API_ORDER.cancel_if_unshipped()</t>
  </si>
  <si>
    <t>{accion: 'cancelar orden'}</t>
  </si>
  <si>
    <t>FAQ-075</t>
  </si>
  <si>
    <t>#RESERVAR_TIENDA</t>
  </si>
  <si>
    <t>¿Puedo apartar una prenda y pasar a pagarla mañana en la tienda?</t>
  </si>
  <si>
    <t>Podemos guardar la prenda a tu nombre en caja hasta por 24 horas. Indícame tu nombre y la prenda deseada.</t>
  </si>
  <si>
    <t>API_RETAIL.hold_in_store()</t>
  </si>
  <si>
    <t>{accion: 'apartar prenda'}</t>
  </si>
  <si>
    <t>FAQ-076</t>
  </si>
  <si>
    <t>#MEDIOS_DE_PAGO_ECOM</t>
  </si>
  <si>
    <t>¿Tienen opción de pagar contra entrega al recibir el paquete?</t>
  </si>
  <si>
    <t>Ofrecemos Pago Contra Entrega en la ciudad principal. Para envíos nacionales aceptamos transferencia previa o tarjeta de crédito.</t>
  </si>
  <si>
    <t>BOT.send_info('Politica_Contraentrega')</t>
  </si>
  <si>
    <t>{modalidad: 'contraentrega'}</t>
  </si>
  <si>
    <t>FAQ-077</t>
  </si>
  <si>
    <t>#DESCUENTO_PRIMERA_COMPRA</t>
  </si>
  <si>
    <t>¿Tienen algún cupón de bienvenida para nuevos clientes?</t>
  </si>
  <si>
    <t>¡Sí! Usa el código BIENVENIDA10 en el checkout para obtener un 10% de descuento en tu primera compra online.</t>
  </si>
  <si>
    <t>BOT.send_coupon('BIENVENIDA10')</t>
  </si>
  <si>
    <t>{cupon: 'BIENVENIDA10'}</t>
  </si>
  <si>
    <t>FAQ-078</t>
  </si>
  <si>
    <t>#MAYORISTAS_VENTAS</t>
  </si>
  <si>
    <t>Quiero comprar al por mayor para revender en mi negocio.</t>
  </si>
  <si>
    <t>¡Excelente! Ofrecemos precios mayoristas a partir de 12 unidades por modelo. Te contacto con un asesor corporativo.</t>
  </si>
  <si>
    <t>TRIGGER.transfer_to_agent('Ventas Mayoristas')</t>
  </si>
  <si>
    <t>{interes: 'ventas al por mayor'}</t>
  </si>
  <si>
    <t>FAQ-079</t>
  </si>
  <si>
    <t>#GUIA_DE_TALLAS</t>
  </si>
  <si>
    <t>No sé qué talla pedir, ¿dónde encuentro la guía de medidas?</t>
  </si>
  <si>
    <t>Te adjunto nuestra tabla de medidas en centímetros para busto, cintura y cadera para que elijas tu talla ideal: [Link Guía].</t>
  </si>
  <si>
    <t>BOT.send_link('https://tienda.com/tallas')</t>
  </si>
  <si>
    <t>{solicitud: 'guia de tallas'}</t>
  </si>
  <si>
    <t>FAQ-080</t>
  </si>
  <si>
    <t>#PRODUTO_AGOTADO</t>
  </si>
  <si>
    <t>¿Cuándo vuelve a estar disponible el vestido rojo que está agotado?</t>
  </si>
  <si>
    <t>Se estima el reabastecimiento en 10 días. Déjanos tu correo o número para enviarte una alerta automática penas llegue.</t>
  </si>
  <si>
    <t>CRM.subscribe_back_in_stock(email)</t>
  </si>
  <si>
    <t>{producto: 'vestido rojo', estado: 'agotado'}</t>
  </si>
  <si>
    <t>FAQ-081</t>
  </si>
  <si>
    <t>#PAGO_FALLIDO</t>
  </si>
  <si>
    <t>Intenté pagar con mi tarjeta pero me sale error en la pasarela.</t>
  </si>
  <si>
    <t>El error suele ser por bloqueo temporal de seguridad de tu banco o saldo. Te puedo generar un enlace de pago alternativo.</t>
  </si>
  <si>
    <t>API_PAYMENT.generate_alt_link()</t>
  </si>
  <si>
    <t>{problema: 'pago fallido'}</t>
  </si>
  <si>
    <t>FAQ-082</t>
  </si>
  <si>
    <t>#EMPAQUE_REGALO</t>
  </si>
  <si>
    <t>¿Tienen servicio de empaque para regalo con tarjeta personalizada?</t>
  </si>
  <si>
    <t>¡Sí! Por $2 adicionales enviamos tu producto en caja especial de regalo con lazo y una tarjeta con el mensaje que nos indiques.</t>
  </si>
  <si>
    <t>API_CHECKOUT.add_gift_wrap()</t>
  </si>
  <si>
    <t>{opcion: 'empaque regalo'}</t>
  </si>
  <si>
    <t>FAQ-083</t>
  </si>
  <si>
    <t>#RECLAMO_PRODUCTO_INCOMPLETO</t>
  </si>
  <si>
    <t>Recibí el paquete pero le falta un accesorio que venía incluido.</t>
  </si>
  <si>
    <t>Te ofrecemos mil disculpas. Envíanos una foto del paquete recibido y número de orden para hacer el despacho exprés del faltante.</t>
  </si>
  <si>
    <t>CRM.create_high_priority_ticket()</t>
  </si>
  <si>
    <t>{reclamo: 'producto incompleto'}</t>
  </si>
  <si>
    <t>FAQ-084</t>
  </si>
  <si>
    <t>#TIEMPO_ENTREGA_LOCAL</t>
  </si>
  <si>
    <t>Si compro hoy, ¿cuándo me llega el pedido dentro de la ciudad?</t>
  </si>
  <si>
    <t>Las compras realizadas antes de las 1:00 PM se entregan el mismo día. Las realizadas después se entregan al día hábil siguiente.</t>
  </si>
  <si>
    <t>BOT.send_info('Tiempos_Despacho')</t>
  </si>
  <si>
    <t>{consulta: 'tiempo entrega'}</t>
  </si>
  <si>
    <t>FAQ-085</t>
  </si>
  <si>
    <t>#CLUB_PUNTOS</t>
  </si>
  <si>
    <t>¿Cómo funciona el programa de puntos por compras?</t>
  </si>
  <si>
    <t>Por cada $1 de compra acumulas 1 punto. Cada 100 puntos equivalen a $5 de descuento en tus próximas compras.</t>
  </si>
  <si>
    <t>BOT.send_info('Programa_Fidelidad')</t>
  </si>
  <si>
    <t>{consulta: 'puntos fidelidad'}</t>
  </si>
  <si>
    <t>FAQ-086</t>
  </si>
  <si>
    <t>Gym / Fitness</t>
  </si>
  <si>
    <t>#PASE_DE_PRUEBA_GYM</t>
  </si>
  <si>
    <t>Quiero probar el gimnasio gratis un día.</t>
  </si>
  <si>
    <t>¡Claro! Te regalamos un Day Pass totalmente gratis. Déjanos tu nombre y cédula para generar tu código QR de ingreso.</t>
  </si>
  <si>
    <t>API_GYM.create_free_pass()</t>
  </si>
  <si>
    <t>{solicitud: 'day pass gratis'}</t>
  </si>
  <si>
    <t>FAQ-087</t>
  </si>
  <si>
    <t>#COSTO_MEMBRESIA_GYM</t>
  </si>
  <si>
    <t>¿Cuánto cuesta la mensualidad y el plan anual del gimnasio?</t>
  </si>
  <si>
    <t>La mensualidad cuesta $35. El plan anual promocional sale en $299 (incluye acceso ilimitado a máquinas, clases grupales y sauna).</t>
  </si>
  <si>
    <t>BOT.send_info('Planes_Gym')</t>
  </si>
  <si>
    <t>{consulta: 'precios gimnasio'}</t>
  </si>
  <si>
    <t>FAQ-088</t>
  </si>
  <si>
    <t>#HORARIO_CLASES_GRUPALES</t>
  </si>
  <si>
    <t>¿A qué hora son las clases de Spinning, Zumba y Pilates?</t>
  </si>
  <si>
    <t>Tenemos clases desde las 6:00 AM hasta las 8:00 PM. Te adjunto el cronograma semanal en PDF.</t>
  </si>
  <si>
    <t>BOT.send_pdf('Horarios_Clases.pdf')</t>
  </si>
  <si>
    <t>{solicitud: 'cronograma clases'}</t>
  </si>
  <si>
    <t>FAQ-089</t>
  </si>
  <si>
    <t>Hospedaje / Hotel</t>
  </si>
  <si>
    <t>#RESERVA_HABITACION</t>
  </si>
  <si>
    <t>Quiero cotizar una habitación doble para este fin de semana (2 noches).</t>
  </si>
  <si>
    <t>¡Hola! La habitación Matrimonial Superior cuesta $85 por noche (incluye desayuno buffet y uso de piscina). ¿Te gustaría reservar?</t>
  </si>
  <si>
    <t>API_HOTEL.check_availability(rooms=1, nights=2)</t>
  </si>
  <si>
    <t>{habitacion: 'doble', noches: 2}</t>
  </si>
  <si>
    <t>FAQ-090</t>
  </si>
  <si>
    <t>#CHECKIN_LATE</t>
  </si>
  <si>
    <t>Llegaremos al hotel a la medianoche, ¿hay recepción 24 horas?</t>
  </si>
  <si>
    <t>¡Sí! Nuestra recepción atiende las 24 horas. Por favor indícanos tu nombre de reserva para dejar todo listo para tu Check-in nocturno.</t>
  </si>
  <si>
    <t>CRM.add_hotel_note('Late Checkin')</t>
  </si>
  <si>
    <t>{consulta: 'checkin medianoche'}</t>
  </si>
  <si>
    <t>FAQ-091</t>
  </si>
  <si>
    <t>#PISCINA_USO_DIA</t>
  </si>
  <si>
    <t>¿Venden pases de 'Day Pass' para usar la piscina sin hospedarme?</t>
  </si>
  <si>
    <t>¡Sí! El Day Pass cuesta $20 adultos y $10 niños (incluye acceso a piscina, jacuzzi y $10 consumibles en el restaurante).</t>
  </si>
  <si>
    <t>BOT.send_info('DayPass_Hotel')</t>
  </si>
  <si>
    <t>{servicio: 'day pass piscina'}</t>
  </si>
  <si>
    <t>FAQ-092</t>
  </si>
  <si>
    <t>Servicios / Varios</t>
  </si>
  <si>
    <t>#HABLAR_CON_HUMANO</t>
  </si>
  <si>
    <t>Necesito hablar urgentemente con una persona, no quiero respuestas automáticas.</t>
  </si>
  <si>
    <t>Entendido inmediatamente. Te estoy transfiriendo con uno de nuestros ejecutivos de atención. Tiempo de espera estimado: 2 minutos.</t>
  </si>
  <si>
    <t>TRIGGER.transfer_to_agent('Humano_Urgente') -&gt; BOT.pause()</t>
  </si>
  <si>
    <t>{accion: 'handoff_humano'}</t>
  </si>
  <si>
    <t>FAQ-093</t>
  </si>
  <si>
    <t>#RECLAMO_SERVICIO</t>
  </si>
  <si>
    <t>Quiero ingresar un reclamo formal por un cobro duplicado en mi tarjeta.</t>
  </si>
  <si>
    <t>Lamentamos este inconveniente. Por favor indícanos los últimos 4 dígitos de la tarjeta y el monto para que Finanzas lo verifique y reverse hoy.</t>
  </si>
  <si>
    <t>CRM.create_ticket_finance()</t>
  </si>
  <si>
    <t>{reclamo: 'cobro duplicado'}</t>
  </si>
  <si>
    <t>FAQ-094</t>
  </si>
  <si>
    <t>#UBICACIONES_OFICINAS</t>
  </si>
  <si>
    <t>¿Tienen oficinas físicas donde pueda ir a hacer un trámite?</t>
  </si>
  <si>
    <t>Atendemos en la Matriz Central: Av. Amazonas N32 y en la Agencia Sur. Nuestro horario es de 8:30 AM a 5:00 PM.</t>
  </si>
  <si>
    <t>{consulta: 'oficina fisica'}</t>
  </si>
  <si>
    <t>FAQ-095</t>
  </si>
  <si>
    <t>#METODOS_CONTACTO</t>
  </si>
  <si>
    <t>¿A qué número de teléfono o correo puedo comunicarme directamente?</t>
  </si>
  <si>
    <t>Puedes llamarnos al PBX (02) 299-0000 o escribirnos al correo soporte@empresa.com. Estamos atentos para servirte.</t>
  </si>
  <si>
    <t>BOT.send_info('Contactos_Oficiales')</t>
  </si>
  <si>
    <t>{consulta: 'telefono/correo'}</t>
  </si>
  <si>
    <t>FAQ-096</t>
  </si>
  <si>
    <t>#TRABAJO_VACANTES</t>
  </si>
  <si>
    <t>¿Tienen vacantes de empleo abiertas para enviar mi hoja de vida?</t>
  </si>
  <si>
    <t>¡Apreciamos tu interés! Puedes consultar nuestras ofertas laborales y subir tu hoja de vida en: [Link Empleos].</t>
  </si>
  <si>
    <t>BOT.send_link('https://empresa.com/empleos')</t>
  </si>
  <si>
    <t>{solicitud: 'empleo/cv'}</t>
  </si>
  <si>
    <t>FAQ-097</t>
  </si>
  <si>
    <t>#COTIZACION_PERSONALIZADA</t>
  </si>
  <si>
    <t>Necesito un presupuesto a medida para un proyecto corporativo grande.</t>
  </si>
  <si>
    <t>Con gusto un consultor sénior evaluará tus requerimientos. Por favor déjanos tu correo corporativo y número de contacto.</t>
  </si>
  <si>
    <t>CRM.create_b2b_lead()</t>
  </si>
  <si>
    <t>{solicitud: 'cotizacion B2B'}</t>
  </si>
  <si>
    <t>FAQ-098</t>
  </si>
  <si>
    <t>#HORARIOS_FERIADOS_GRAL</t>
  </si>
  <si>
    <t>¿Atenderán con normalidad este próximo feriado nacional?</t>
  </si>
  <si>
    <t>El día feriado atenderemos en horario especial de 10:00 AM a 6:00 PM. Reanudaremos horario normal al día siguiente.</t>
  </si>
  <si>
    <t>BOT.send_info('Horarios_Feriados')</t>
  </si>
  <si>
    <t>{consulta: 'atencion feriados'}</t>
  </si>
  <si>
    <t>FAQ-099</t>
  </si>
  <si>
    <t>#DATOS_BANCARIOS</t>
  </si>
  <si>
    <t>Necesito los datos de la cuenta bancaria para hacer una transferencia.</t>
  </si>
  <si>
    <t>Te compartimos nuestros datos oficiales: Banco Pichincha, Cta. Corriente #210039201, A nombre de Empresa S.A., RUC 1792039201001.</t>
  </si>
  <si>
    <t>{solicitud: 'datos bancarios'}</t>
  </si>
  <si>
    <t>FAQ-100</t>
  </si>
  <si>
    <t>#PROTECCION_DATOS</t>
  </si>
  <si>
    <t>¿Cómo protegen mis datos personales suministrados en este chat?</t>
  </si>
  <si>
    <t>Tus datos se encuentran protegidos bajo nuestras Políticas de Privacidad y la Ley de Protección de Datos Personales. No compartimos tu información.</t>
  </si>
  <si>
    <t>BOT.send_link('https://empresa.com/privacidad')</t>
  </si>
  <si>
    <t>{consulta: 'privacidad datos'}</t>
  </si>
  <si>
    <t>RESUMEN DE CASOS CONFIGURADOS POR SECTOR DE NEGOCIO</t>
  </si>
  <si>
    <t>Sector / Ámbito de Negocio</t>
  </si>
  <si>
    <t>Número de Casos (Q&amp;A)</t>
  </si>
  <si>
    <t>Porcentaje del Total</t>
  </si>
  <si>
    <t>Gimnasio / Fitness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</si>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</sst>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4" x14ac:knownFonts="1">
    <font>
      <sz val="11"/>
      <color theme="1"/>
      <name val="Calibri"/>
      <family val="2"/>
      <scheme val="minor"/>
    </font>
    <font>
      <b/>
      <sz val="14"/>
      <color rgb="FF0F172A"/>
      <name val="Segoe UI"/>
    </font>
    <font>
      <i/>
      <sz val="10"/>
      <color rgb="FF475569"/>
      <name val="Segoe UI"/>
    </font>
    <font>
      <b/>
      <sz val="10"/>
      <color rgb="FFFFFFFF"/>
      <name val="Segoe UI"/>
    </font>
    <font>
      <sz val="9"/>
      <name val="Segoe UI"/>
    </font>
    <font>
      <b/>
      <sz val="9"/>
      <color rgb="FF475569"/>
      <name val="Segoe UI"/>
    </font>
    <font>
      <b/>
      <sz val="9"/>
      <color rgb="FF0F172A"/>
      <name val="Segoe UI"/>
    </font>
    <font>
      <i/>
      <sz val="8.5"/>
      <color rgb="FF0369A1"/>
      <name val="Segoe UI"/>
    </font>
    <font>
      <b/>
      <sz val="8.5"/>
      <color rgb="FF1D4ED8"/>
      <name val="Segoe UI"/>
    </font>
    <font>
      <sz val="8.5"/>
      <color rgb="FFB45309"/>
      <name val="Segoe UI"/>
    </font>
    <font>
      <b/>
      <sz val="13"/>
      <color rgb="FF0F172A"/>
      <name val="Segoe UI"/>
    </font>
    <font>
      <b/>
      <sz val="9.5"/>
      <name val="Segoe UI"/>
    </font>
    <font>
      <b/>
      <sz val="10"/>
      <color rgb="FF0369A1"/>
      <name val="Segoe UI"/>
    </font>
    <font>
      <b/>
      <sz val="10"/>
      <color rgb="FF0F172A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0F172A"/>
        <bgColor rgb="FF0F172A"/>
      </patternFill>
    </fill>
    <fill>
      <patternFill patternType="solid">
        <fgColor rgb="FFFFFFFF"/>
        <bgColor rgb="FFFFFFFF"/>
      </patternFill>
    </fill>
    <fill>
      <patternFill patternType="solid">
        <fgColor rgb="FFF8FAFC"/>
        <bgColor rgb="FFF8FAFC"/>
      </patternFill>
    </fill>
    <fill>
      <patternFill patternType="solid">
        <fgColor rgb="FFE2E8F0"/>
        <bgColor rgb="FFE2E8F0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thin">
        <color rgb="FF0F172A"/>
      </top>
      <bottom style="double">
        <color rgb="FF0F172A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11" fillId="4" borderId="1" xfId="0" applyFont="1" applyFill="1" applyBorder="1"/>
    <xf numFmtId="0" fontId="12" fillId="4" borderId="1" xfId="0" applyFon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right" vertical="center"/>
    </xf>
    <xf numFmtId="0" fontId="11" fillId="3" borderId="1" xfId="0" applyFont="1" applyFill="1" applyBorder="1"/>
    <xf numFmtId="0" fontId="12" fillId="3" borderId="1" xfId="0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right" vertical="center"/>
    </xf>
    <xf numFmtId="0" fontId="13" fillId="5" borderId="2" xfId="0" applyFont="1" applyFill="1" applyBorder="1"/>
    <xf numFmtId="164" fontId="13" fillId="5" borderId="2" xfId="0" applyNumberFormat="1" applyFont="1" applyFill="1" applyBorder="1"/>
    <xf numFmtId="0" fontId="2" fillId="0" borderId="0" xfId="0" applyFont="1"/>
    <xf numFmtId="0" fontId="0" fillId="0" borderId="0" xfId="0"/>
    <xf numFmtId="0" fontId="1" fillId="0" borderId="0" xfId="0" applyFont="1" applyAlignment="1">
      <alignment vertical="center"/>
    </xf>
    <xf numFmtId="0" fontId="1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105"/>
  <sheetViews>
    <sheetView tabSelected="1" workbookViewId="0">
      <pane xSplit="1" ySplit="5" topLeftCell="B39" activePane="bottomRight" state="frozen"/>
      <selection pane="bottomLeft"/>
      <selection pane="topRight"/>
      <selection pane="bottomRight"/>
    </sheetView>
  </sheetViews>
  <sheetFormatPr defaultRowHeight="15" x14ac:dyDescent="0.2"/>
  <cols>
    <col min="1" max="1" width="2.95703125" customWidth="1"/>
    <col min="2" max="2" width="11.02734375" customWidth="1"/>
    <col min="3" max="3" width="22.05859375" customWidth="1"/>
    <col min="4" max="4" width="27.98046875" customWidth="1"/>
    <col min="5" max="5" width="45.0625" customWidth="1"/>
    <col min="6" max="6" width="52.05859375" customWidth="1"/>
    <col min="7" max="7" width="48.0234375" customWidth="1"/>
    <col min="8" max="8" width="37.93359375" customWidth="1"/>
  </cols>
  <sheetData>
    <row r="2" spans="2:8" ht="20.25" x14ac:dyDescent="0.2">
      <c r="B2" s="25" t="s">
        <v>0</v>
      </c>
      <c r="C2" s="24"/>
      <c r="D2" s="24"/>
      <c r="E2" s="24"/>
      <c r="F2" s="24"/>
      <c r="G2" s="24"/>
      <c r="H2" s="24"/>
    </row>
    <row r="3" spans="2:8" x14ac:dyDescent="0.2">
      <c r="B3" s="23" t="s">
        <v>1</v>
      </c>
      <c r="C3" s="24"/>
      <c r="D3" s="24"/>
      <c r="E3" s="24"/>
      <c r="F3" s="24"/>
      <c r="G3" s="24"/>
      <c r="H3" s="24"/>
    </row>
    <row r="5" spans="2:8" ht="26.1" customHeight="1" x14ac:dyDescent="0.2"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</row>
    <row r="6" spans="2:8" ht="21.95" customHeight="1" x14ac:dyDescent="0.2">
      <c r="B6" s="2" t="s">
        <v>9</v>
      </c>
      <c r="C6" s="3" t="s">
        <v>10</v>
      </c>
      <c r="D6" s="4" t="s">
        <v>11</v>
      </c>
      <c r="E6" s="5" t="s">
        <v>12</v>
      </c>
      <c r="F6" s="5" t="s">
        <v>13</v>
      </c>
      <c r="G6" s="6" t="s">
        <v>14</v>
      </c>
      <c r="H6" s="7" t="s">
        <v>15</v>
      </c>
    </row>
    <row r="7" spans="2:8" ht="21.95" customHeight="1" x14ac:dyDescent="0.2">
      <c r="B7" s="8" t="s">
        <v>16</v>
      </c>
      <c r="C7" s="9" t="s">
        <v>17</v>
      </c>
      <c r="D7" s="10" t="s">
        <v>18</v>
      </c>
      <c r="E7" s="11" t="s">
        <v>19</v>
      </c>
      <c r="F7" s="11" t="s">
        <v>20</v>
      </c>
      <c r="G7" s="12" t="s">
        <v>21</v>
      </c>
      <c r="H7" s="13" t="s">
        <v>22</v>
      </c>
    </row>
    <row r="8" spans="2:8" ht="21.95" customHeight="1" x14ac:dyDescent="0.2">
      <c r="B8" s="2" t="s">
        <v>23</v>
      </c>
      <c r="C8" s="3" t="s">
        <v>17</v>
      </c>
      <c r="D8" s="4" t="s">
        <v>24</v>
      </c>
      <c r="E8" s="5" t="s">
        <v>25</v>
      </c>
      <c r="F8" s="5" t="s">
        <v>26</v>
      </c>
      <c r="G8" s="6" t="s">
        <v>27</v>
      </c>
      <c r="H8" s="7" t="s">
        <v>28</v>
      </c>
    </row>
    <row r="9" spans="2:8" ht="21.95" customHeight="1" x14ac:dyDescent="0.2">
      <c r="B9" s="8" t="s">
        <v>29</v>
      </c>
      <c r="C9" s="9" t="s">
        <v>17</v>
      </c>
      <c r="D9" s="10" t="s">
        <v>30</v>
      </c>
      <c r="E9" s="11" t="s">
        <v>31</v>
      </c>
      <c r="F9" s="11" t="s">
        <v>32</v>
      </c>
      <c r="G9" s="12" t="s">
        <v>33</v>
      </c>
      <c r="H9" s="13" t="s">
        <v>34</v>
      </c>
    </row>
    <row r="10" spans="2:8" ht="21.95" customHeight="1" x14ac:dyDescent="0.2">
      <c r="B10" s="2" t="s">
        <v>35</v>
      </c>
      <c r="C10" s="3" t="s">
        <v>17</v>
      </c>
      <c r="D10" s="4" t="s">
        <v>36</v>
      </c>
      <c r="E10" s="5" t="s">
        <v>37</v>
      </c>
      <c r="F10" s="5" t="s">
        <v>38</v>
      </c>
      <c r="G10" s="6" t="s">
        <v>39</v>
      </c>
      <c r="H10" s="7" t="s">
        <v>40</v>
      </c>
    </row>
    <row r="11" spans="2:8" ht="21.95" customHeight="1" x14ac:dyDescent="0.2">
      <c r="B11" s="8" t="s">
        <v>41</v>
      </c>
      <c r="C11" s="9" t="s">
        <v>10</v>
      </c>
      <c r="D11" s="10" t="s">
        <v>42</v>
      </c>
      <c r="E11" s="11" t="s">
        <v>43</v>
      </c>
      <c r="F11" s="11" t="s">
        <v>44</v>
      </c>
      <c r="G11" s="12" t="s">
        <v>45</v>
      </c>
      <c r="H11" s="13" t="s">
        <v>46</v>
      </c>
    </row>
    <row r="12" spans="2:8" ht="21.95" customHeight="1" x14ac:dyDescent="0.2">
      <c r="B12" s="2" t="s">
        <v>47</v>
      </c>
      <c r="C12" s="3" t="s">
        <v>10</v>
      </c>
      <c r="D12" s="4" t="s">
        <v>48</v>
      </c>
      <c r="E12" s="5" t="s">
        <v>49</v>
      </c>
      <c r="F12" s="5" t="s">
        <v>50</v>
      </c>
      <c r="G12" s="6" t="s">
        <v>51</v>
      </c>
      <c r="H12" s="7" t="s">
        <v>52</v>
      </c>
    </row>
    <row r="13" spans="2:8" ht="21.95" customHeight="1" x14ac:dyDescent="0.2">
      <c r="B13" s="8" t="s">
        <v>53</v>
      </c>
      <c r="C13" s="9" t="s">
        <v>10</v>
      </c>
      <c r="D13" s="10" t="s">
        <v>54</v>
      </c>
      <c r="E13" s="11" t="s">
        <v>55</v>
      </c>
      <c r="F13" s="11" t="s">
        <v>56</v>
      </c>
      <c r="G13" s="12" t="s">
        <v>57</v>
      </c>
      <c r="H13" s="13" t="s">
        <v>58</v>
      </c>
    </row>
    <row r="14" spans="2:8" ht="21.95" customHeight="1" x14ac:dyDescent="0.2">
      <c r="B14" s="2" t="s">
        <v>59</v>
      </c>
      <c r="C14" s="3" t="s">
        <v>10</v>
      </c>
      <c r="D14" s="4" t="s">
        <v>60</v>
      </c>
      <c r="E14" s="5" t="s">
        <v>61</v>
      </c>
      <c r="F14" s="5" t="s">
        <v>62</v>
      </c>
      <c r="G14" s="6" t="s">
        <v>63</v>
      </c>
      <c r="H14" s="7" t="s">
        <v>64</v>
      </c>
    </row>
    <row r="15" spans="2:8" ht="21.95" customHeight="1" x14ac:dyDescent="0.2">
      <c r="B15" s="8" t="s">
        <v>65</v>
      </c>
      <c r="C15" s="9" t="s">
        <v>10</v>
      </c>
      <c r="D15" s="10" t="s">
        <v>66</v>
      </c>
      <c r="E15" s="11" t="s">
        <v>67</v>
      </c>
      <c r="F15" s="11" t="s">
        <v>68</v>
      </c>
      <c r="G15" s="12" t="s">
        <v>69</v>
      </c>
      <c r="H15" s="13" t="s">
        <v>70</v>
      </c>
    </row>
    <row r="16" spans="2:8" ht="21.95" customHeight="1" x14ac:dyDescent="0.2">
      <c r="B16" s="2" t="s">
        <v>71</v>
      </c>
      <c r="C16" s="3" t="s">
        <v>10</v>
      </c>
      <c r="D16" s="4" t="s">
        <v>72</v>
      </c>
      <c r="E16" s="5" t="s">
        <v>73</v>
      </c>
      <c r="F16" s="5" t="s">
        <v>74</v>
      </c>
      <c r="G16" s="6" t="s">
        <v>75</v>
      </c>
      <c r="H16" s="7" t="s">
        <v>76</v>
      </c>
    </row>
    <row r="17" spans="2:8" ht="21.95" customHeight="1" x14ac:dyDescent="0.2">
      <c r="B17" s="8" t="s">
        <v>77</v>
      </c>
      <c r="C17" s="9" t="s">
        <v>10</v>
      </c>
      <c r="D17" s="10" t="s">
        <v>78</v>
      </c>
      <c r="E17" s="11" t="s">
        <v>79</v>
      </c>
      <c r="F17" s="11" t="s">
        <v>80</v>
      </c>
      <c r="G17" s="12" t="s">
        <v>81</v>
      </c>
      <c r="H17" s="13" t="s">
        <v>82</v>
      </c>
    </row>
    <row r="18" spans="2:8" ht="21.95" customHeight="1" x14ac:dyDescent="0.2">
      <c r="B18" s="2" t="s">
        <v>83</v>
      </c>
      <c r="C18" s="3" t="s">
        <v>17</v>
      </c>
      <c r="D18" s="4" t="s">
        <v>84</v>
      </c>
      <c r="E18" s="5" t="s">
        <v>85</v>
      </c>
      <c r="F18" s="5" t="s">
        <v>86</v>
      </c>
      <c r="G18" s="6" t="s">
        <v>87</v>
      </c>
      <c r="H18" s="7" t="s">
        <v>88</v>
      </c>
    </row>
    <row r="19" spans="2:8" ht="21.95" customHeight="1" x14ac:dyDescent="0.2">
      <c r="B19" s="8" t="s">
        <v>89</v>
      </c>
      <c r="C19" s="9" t="s">
        <v>17</v>
      </c>
      <c r="D19" s="10" t="s">
        <v>90</v>
      </c>
      <c r="E19" s="11" t="s">
        <v>91</v>
      </c>
      <c r="F19" s="11" t="s">
        <v>92</v>
      </c>
      <c r="G19" s="12" t="s">
        <v>93</v>
      </c>
      <c r="H19" s="13" t="s">
        <v>94</v>
      </c>
    </row>
    <row r="20" spans="2:8" ht="21.95" customHeight="1" x14ac:dyDescent="0.2">
      <c r="B20" s="2" t="s">
        <v>95</v>
      </c>
      <c r="C20" s="3" t="s">
        <v>10</v>
      </c>
      <c r="D20" s="4" t="s">
        <v>96</v>
      </c>
      <c r="E20" s="5" t="s">
        <v>97</v>
      </c>
      <c r="F20" s="5" t="s">
        <v>98</v>
      </c>
      <c r="G20" s="6" t="s">
        <v>99</v>
      </c>
      <c r="H20" s="7" t="s">
        <v>100</v>
      </c>
    </row>
    <row r="21" spans="2:8" ht="21.95" customHeight="1" x14ac:dyDescent="0.2">
      <c r="B21" s="8" t="s">
        <v>101</v>
      </c>
      <c r="C21" s="9" t="s">
        <v>10</v>
      </c>
      <c r="D21" s="10" t="s">
        <v>102</v>
      </c>
      <c r="E21" s="11" t="s">
        <v>103</v>
      </c>
      <c r="F21" s="11" t="s">
        <v>104</v>
      </c>
      <c r="G21" s="12" t="s">
        <v>105</v>
      </c>
      <c r="H21" s="13" t="s">
        <v>106</v>
      </c>
    </row>
    <row r="22" spans="2:8" ht="21.95" customHeight="1" x14ac:dyDescent="0.2">
      <c r="B22" s="2" t="s">
        <v>107</v>
      </c>
      <c r="C22" s="3" t="s">
        <v>10</v>
      </c>
      <c r="D22" s="4" t="s">
        <v>108</v>
      </c>
      <c r="E22" s="5" t="s">
        <v>109</v>
      </c>
      <c r="F22" s="5" t="s">
        <v>110</v>
      </c>
      <c r="G22" s="6" t="s">
        <v>111</v>
      </c>
      <c r="H22" s="7" t="s">
        <v>112</v>
      </c>
    </row>
    <row r="23" spans="2:8" ht="21.95" customHeight="1" x14ac:dyDescent="0.2">
      <c r="B23" s="8" t="s">
        <v>113</v>
      </c>
      <c r="C23" s="9" t="s">
        <v>17</v>
      </c>
      <c r="D23" s="10" t="s">
        <v>114</v>
      </c>
      <c r="E23" s="11" t="s">
        <v>115</v>
      </c>
      <c r="F23" s="11" t="s">
        <v>116</v>
      </c>
      <c r="G23" s="12" t="s">
        <v>117</v>
      </c>
      <c r="H23" s="13" t="s">
        <v>118</v>
      </c>
    </row>
    <row r="24" spans="2:8" ht="21.95" customHeight="1" x14ac:dyDescent="0.2">
      <c r="B24" s="2" t="s">
        <v>119</v>
      </c>
      <c r="C24" s="3" t="s">
        <v>10</v>
      </c>
      <c r="D24" s="4" t="s">
        <v>120</v>
      </c>
      <c r="E24" s="5" t="s">
        <v>121</v>
      </c>
      <c r="F24" s="5" t="s">
        <v>122</v>
      </c>
      <c r="G24" s="6" t="s">
        <v>123</v>
      </c>
      <c r="H24" s="7" t="s">
        <v>124</v>
      </c>
    </row>
    <row r="25" spans="2:8" ht="21.95" customHeight="1" x14ac:dyDescent="0.2">
      <c r="B25" s="8" t="s">
        <v>125</v>
      </c>
      <c r="C25" s="9" t="s">
        <v>10</v>
      </c>
      <c r="D25" s="10" t="s">
        <v>126</v>
      </c>
      <c r="E25" s="11" t="s">
        <v>127</v>
      </c>
      <c r="F25" s="11" t="s">
        <v>128</v>
      </c>
      <c r="G25" s="12" t="s">
        <v>129</v>
      </c>
      <c r="H25" s="13" t="s">
        <v>130</v>
      </c>
    </row>
    <row r="26" spans="2:8" ht="21.95" customHeight="1" x14ac:dyDescent="0.2">
      <c r="B26" s="2" t="s">
        <v>131</v>
      </c>
      <c r="C26" s="3" t="s">
        <v>10</v>
      </c>
      <c r="D26" s="4" t="s">
        <v>132</v>
      </c>
      <c r="E26" s="5" t="s">
        <v>133</v>
      </c>
      <c r="F26" s="5" t="s">
        <v>134</v>
      </c>
      <c r="G26" s="6" t="s">
        <v>135</v>
      </c>
      <c r="H26" s="7" t="s">
        <v>136</v>
      </c>
    </row>
    <row r="27" spans="2:8" ht="21.95" customHeight="1" x14ac:dyDescent="0.2">
      <c r="B27" s="8" t="s">
        <v>137</v>
      </c>
      <c r="C27" s="9" t="s">
        <v>17</v>
      </c>
      <c r="D27" s="10" t="s">
        <v>138</v>
      </c>
      <c r="E27" s="11" t="s">
        <v>139</v>
      </c>
      <c r="F27" s="11" t="s">
        <v>140</v>
      </c>
      <c r="G27" s="12" t="s">
        <v>141</v>
      </c>
      <c r="H27" s="13" t="s">
        <v>142</v>
      </c>
    </row>
    <row r="28" spans="2:8" ht="21.95" customHeight="1" x14ac:dyDescent="0.2">
      <c r="B28" s="2" t="s">
        <v>143</v>
      </c>
      <c r="C28" s="3" t="s">
        <v>10</v>
      </c>
      <c r="D28" s="4" t="s">
        <v>144</v>
      </c>
      <c r="E28" s="5" t="s">
        <v>145</v>
      </c>
      <c r="F28" s="5" t="s">
        <v>146</v>
      </c>
      <c r="G28" s="6" t="s">
        <v>147</v>
      </c>
      <c r="H28" s="7" t="s">
        <v>148</v>
      </c>
    </row>
    <row r="29" spans="2:8" ht="21.95" customHeight="1" x14ac:dyDescent="0.2">
      <c r="B29" s="8" t="s">
        <v>149</v>
      </c>
      <c r="C29" s="9" t="s">
        <v>10</v>
      </c>
      <c r="D29" s="10" t="s">
        <v>150</v>
      </c>
      <c r="E29" s="11" t="s">
        <v>151</v>
      </c>
      <c r="F29" s="11" t="s">
        <v>152</v>
      </c>
      <c r="G29" s="12" t="s">
        <v>153</v>
      </c>
      <c r="H29" s="13" t="s">
        <v>154</v>
      </c>
    </row>
    <row r="30" spans="2:8" ht="21.95" customHeight="1" x14ac:dyDescent="0.2">
      <c r="B30" s="2" t="s">
        <v>155</v>
      </c>
      <c r="C30" s="3" t="s">
        <v>10</v>
      </c>
      <c r="D30" s="4" t="s">
        <v>156</v>
      </c>
      <c r="E30" s="5" t="s">
        <v>157</v>
      </c>
      <c r="F30" s="5" t="s">
        <v>158</v>
      </c>
      <c r="G30" s="6" t="s">
        <v>159</v>
      </c>
      <c r="H30" s="7" t="s">
        <v>160</v>
      </c>
    </row>
    <row r="31" spans="2:8" ht="21.95" customHeight="1" x14ac:dyDescent="0.2">
      <c r="B31" s="8" t="s">
        <v>161</v>
      </c>
      <c r="C31" s="9" t="s">
        <v>162</v>
      </c>
      <c r="D31" s="10" t="s">
        <v>163</v>
      </c>
      <c r="E31" s="11" t="s">
        <v>164</v>
      </c>
      <c r="F31" s="11" t="s">
        <v>165</v>
      </c>
      <c r="G31" s="12" t="s">
        <v>166</v>
      </c>
      <c r="H31" s="13" t="s">
        <v>167</v>
      </c>
    </row>
    <row r="32" spans="2:8" ht="21.95" customHeight="1" x14ac:dyDescent="0.2">
      <c r="B32" s="2" t="s">
        <v>168</v>
      </c>
      <c r="C32" s="3" t="s">
        <v>162</v>
      </c>
      <c r="D32" s="4" t="s">
        <v>169</v>
      </c>
      <c r="E32" s="5" t="s">
        <v>170</v>
      </c>
      <c r="F32" s="5" t="s">
        <v>171</v>
      </c>
      <c r="G32" s="6" t="s">
        <v>172</v>
      </c>
      <c r="H32" s="7" t="s">
        <v>173</v>
      </c>
    </row>
    <row r="33" spans="2:8" ht="21.95" customHeight="1" x14ac:dyDescent="0.2">
      <c r="B33" s="8" t="s">
        <v>174</v>
      </c>
      <c r="C33" s="9" t="s">
        <v>162</v>
      </c>
      <c r="D33" s="10" t="s">
        <v>175</v>
      </c>
      <c r="E33" s="11" t="s">
        <v>176</v>
      </c>
      <c r="F33" s="11" t="s">
        <v>177</v>
      </c>
      <c r="G33" s="12" t="s">
        <v>178</v>
      </c>
      <c r="H33" s="13" t="s">
        <v>179</v>
      </c>
    </row>
    <row r="34" spans="2:8" ht="21.95" customHeight="1" x14ac:dyDescent="0.2">
      <c r="B34" s="2" t="s">
        <v>180</v>
      </c>
      <c r="C34" s="3" t="s">
        <v>162</v>
      </c>
      <c r="D34" s="4" t="s">
        <v>181</v>
      </c>
      <c r="E34" s="5" t="s">
        <v>182</v>
      </c>
      <c r="F34" s="5" t="s">
        <v>183</v>
      </c>
      <c r="G34" s="6" t="s">
        <v>184</v>
      </c>
      <c r="H34" s="7" t="s">
        <v>185</v>
      </c>
    </row>
    <row r="35" spans="2:8" ht="21.95" customHeight="1" x14ac:dyDescent="0.2">
      <c r="B35" s="8" t="s">
        <v>186</v>
      </c>
      <c r="C35" s="9" t="s">
        <v>162</v>
      </c>
      <c r="D35" s="10" t="s">
        <v>187</v>
      </c>
      <c r="E35" s="11" t="s">
        <v>188</v>
      </c>
      <c r="F35" s="11" t="s">
        <v>189</v>
      </c>
      <c r="G35" s="12" t="s">
        <v>190</v>
      </c>
      <c r="H35" s="13" t="s">
        <v>191</v>
      </c>
    </row>
    <row r="36" spans="2:8" ht="21.95" customHeight="1" x14ac:dyDescent="0.2">
      <c r="B36" s="2" t="s">
        <v>192</v>
      </c>
      <c r="C36" s="3" t="s">
        <v>162</v>
      </c>
      <c r="D36" s="4" t="s">
        <v>193</v>
      </c>
      <c r="E36" s="5" t="s">
        <v>194</v>
      </c>
      <c r="F36" s="5" t="s">
        <v>195</v>
      </c>
      <c r="G36" s="6" t="s">
        <v>196</v>
      </c>
      <c r="H36" s="7" t="s">
        <v>197</v>
      </c>
    </row>
    <row r="37" spans="2:8" ht="21.95" customHeight="1" x14ac:dyDescent="0.2">
      <c r="B37" s="8" t="s">
        <v>198</v>
      </c>
      <c r="C37" s="9" t="s">
        <v>162</v>
      </c>
      <c r="D37" s="10" t="s">
        <v>199</v>
      </c>
      <c r="E37" s="11" t="s">
        <v>200</v>
      </c>
      <c r="F37" s="11" t="s">
        <v>201</v>
      </c>
      <c r="G37" s="12" t="s">
        <v>202</v>
      </c>
      <c r="H37" s="13" t="s">
        <v>203</v>
      </c>
    </row>
    <row r="38" spans="2:8" ht="21.95" customHeight="1" x14ac:dyDescent="0.2">
      <c r="B38" s="2" t="s">
        <v>204</v>
      </c>
      <c r="C38" s="3" t="s">
        <v>162</v>
      </c>
      <c r="D38" s="4" t="s">
        <v>205</v>
      </c>
      <c r="E38" s="5" t="s">
        <v>206</v>
      </c>
      <c r="F38" s="5" t="s">
        <v>207</v>
      </c>
      <c r="G38" s="6" t="s">
        <v>208</v>
      </c>
      <c r="H38" s="7" t="s">
        <v>209</v>
      </c>
    </row>
    <row r="39" spans="2:8" ht="21.95" customHeight="1" x14ac:dyDescent="0.2">
      <c r="B39" s="8" t="s">
        <v>210</v>
      </c>
      <c r="C39" s="9" t="s">
        <v>162</v>
      </c>
      <c r="D39" s="10" t="s">
        <v>211</v>
      </c>
      <c r="E39" s="11" t="s">
        <v>212</v>
      </c>
      <c r="F39" s="11" t="s">
        <v>213</v>
      </c>
      <c r="G39" s="12" t="s">
        <v>214</v>
      </c>
      <c r="H39" s="13" t="s">
        <v>215</v>
      </c>
    </row>
    <row r="40" spans="2:8" ht="21.95" customHeight="1" x14ac:dyDescent="0.2">
      <c r="B40" s="2" t="s">
        <v>216</v>
      </c>
      <c r="C40" s="3" t="s">
        <v>162</v>
      </c>
      <c r="D40" s="4" t="s">
        <v>217</v>
      </c>
      <c r="E40" s="5" t="s">
        <v>218</v>
      </c>
      <c r="F40" s="5" t="s">
        <v>219</v>
      </c>
      <c r="G40" s="6" t="s">
        <v>220</v>
      </c>
      <c r="H40" s="7" t="s">
        <v>221</v>
      </c>
    </row>
    <row r="41" spans="2:8" ht="21.95" customHeight="1" x14ac:dyDescent="0.2">
      <c r="B41" s="8" t="s">
        <v>222</v>
      </c>
      <c r="C41" s="9" t="s">
        <v>162</v>
      </c>
      <c r="D41" s="10" t="s">
        <v>223</v>
      </c>
      <c r="E41" s="11" t="s">
        <v>224</v>
      </c>
      <c r="F41" s="11" t="s">
        <v>225</v>
      </c>
      <c r="G41" s="12" t="s">
        <v>226</v>
      </c>
      <c r="H41" s="13" t="s">
        <v>227</v>
      </c>
    </row>
    <row r="42" spans="2:8" ht="21.95" customHeight="1" x14ac:dyDescent="0.2">
      <c r="B42" s="2" t="s">
        <v>228</v>
      </c>
      <c r="C42" s="3" t="s">
        <v>162</v>
      </c>
      <c r="D42" s="4" t="s">
        <v>229</v>
      </c>
      <c r="E42" s="5" t="s">
        <v>230</v>
      </c>
      <c r="F42" s="5" t="s">
        <v>231</v>
      </c>
      <c r="G42" s="6" t="s">
        <v>232</v>
      </c>
      <c r="H42" s="7" t="s">
        <v>233</v>
      </c>
    </row>
    <row r="43" spans="2:8" ht="21.95" customHeight="1" x14ac:dyDescent="0.2">
      <c r="B43" s="8" t="s">
        <v>234</v>
      </c>
      <c r="C43" s="9" t="s">
        <v>162</v>
      </c>
      <c r="D43" s="10" t="s">
        <v>235</v>
      </c>
      <c r="E43" s="11" t="s">
        <v>236</v>
      </c>
      <c r="F43" s="11" t="s">
        <v>237</v>
      </c>
      <c r="G43" s="12" t="s">
        <v>238</v>
      </c>
      <c r="H43" s="13" t="s">
        <v>239</v>
      </c>
    </row>
    <row r="44" spans="2:8" ht="21.95" customHeight="1" x14ac:dyDescent="0.2">
      <c r="B44" s="2" t="s">
        <v>240</v>
      </c>
      <c r="C44" s="3" t="s">
        <v>162</v>
      </c>
      <c r="D44" s="4" t="s">
        <v>241</v>
      </c>
      <c r="E44" s="5" t="s">
        <v>242</v>
      </c>
      <c r="F44" s="5" t="s">
        <v>243</v>
      </c>
      <c r="G44" s="6" t="s">
        <v>244</v>
      </c>
      <c r="H44" s="7" t="s">
        <v>245</v>
      </c>
    </row>
    <row r="45" spans="2:8" ht="21.95" customHeight="1" x14ac:dyDescent="0.2">
      <c r="B45" s="8" t="s">
        <v>246</v>
      </c>
      <c r="C45" s="9" t="s">
        <v>162</v>
      </c>
      <c r="D45" s="10" t="s">
        <v>247</v>
      </c>
      <c r="E45" s="11" t="s">
        <v>248</v>
      </c>
      <c r="F45" s="11" t="s">
        <v>249</v>
      </c>
      <c r="G45" s="12" t="s">
        <v>250</v>
      </c>
      <c r="H45" s="13" t="s">
        <v>251</v>
      </c>
    </row>
    <row r="46" spans="2:8" ht="21.95" customHeight="1" x14ac:dyDescent="0.2">
      <c r="B46" s="2" t="s">
        <v>252</v>
      </c>
      <c r="C46" s="3" t="s">
        <v>162</v>
      </c>
      <c r="D46" s="4" t="s">
        <v>253</v>
      </c>
      <c r="E46" s="5" t="s">
        <v>254</v>
      </c>
      <c r="F46" s="5" t="s">
        <v>255</v>
      </c>
      <c r="G46" s="6" t="s">
        <v>256</v>
      </c>
      <c r="H46" s="7" t="s">
        <v>257</v>
      </c>
    </row>
    <row r="47" spans="2:8" ht="21.95" customHeight="1" x14ac:dyDescent="0.2">
      <c r="B47" s="8" t="s">
        <v>258</v>
      </c>
      <c r="C47" s="9" t="s">
        <v>162</v>
      </c>
      <c r="D47" s="10" t="s">
        <v>259</v>
      </c>
      <c r="E47" s="11" t="s">
        <v>260</v>
      </c>
      <c r="F47" s="11" t="s">
        <v>261</v>
      </c>
      <c r="G47" s="12" t="s">
        <v>262</v>
      </c>
      <c r="H47" s="13" t="s">
        <v>263</v>
      </c>
    </row>
    <row r="48" spans="2:8" ht="21.95" customHeight="1" x14ac:dyDescent="0.2">
      <c r="B48" s="2" t="s">
        <v>264</v>
      </c>
      <c r="C48" s="3" t="s">
        <v>162</v>
      </c>
      <c r="D48" s="4" t="s">
        <v>265</v>
      </c>
      <c r="E48" s="5" t="s">
        <v>266</v>
      </c>
      <c r="F48" s="5" t="s">
        <v>267</v>
      </c>
      <c r="G48" s="6" t="s">
        <v>268</v>
      </c>
      <c r="H48" s="7" t="s">
        <v>269</v>
      </c>
    </row>
    <row r="49" spans="2:8" ht="21.95" customHeight="1" x14ac:dyDescent="0.2">
      <c r="B49" s="8" t="s">
        <v>270</v>
      </c>
      <c r="C49" s="9" t="s">
        <v>162</v>
      </c>
      <c r="D49" s="10" t="s">
        <v>271</v>
      </c>
      <c r="E49" s="11" t="s">
        <v>272</v>
      </c>
      <c r="F49" s="11" t="s">
        <v>273</v>
      </c>
      <c r="G49" s="12" t="s">
        <v>274</v>
      </c>
      <c r="H49" s="13" t="s">
        <v>275</v>
      </c>
    </row>
    <row r="50" spans="2:8" ht="21.95" customHeight="1" x14ac:dyDescent="0.2">
      <c r="B50" s="2" t="s">
        <v>276</v>
      </c>
      <c r="C50" s="3" t="s">
        <v>162</v>
      </c>
      <c r="D50" s="4" t="s">
        <v>277</v>
      </c>
      <c r="E50" s="5" t="s">
        <v>278</v>
      </c>
      <c r="F50" s="5" t="s">
        <v>279</v>
      </c>
      <c r="G50" s="6" t="s">
        <v>280</v>
      </c>
      <c r="H50" s="7" t="s">
        <v>281</v>
      </c>
    </row>
    <row r="51" spans="2:8" ht="21.95" customHeight="1" x14ac:dyDescent="0.2">
      <c r="B51" s="8" t="s">
        <v>282</v>
      </c>
      <c r="C51" s="9" t="s">
        <v>283</v>
      </c>
      <c r="D51" s="10" t="s">
        <v>284</v>
      </c>
      <c r="E51" s="11" t="s">
        <v>285</v>
      </c>
      <c r="F51" s="11" t="s">
        <v>286</v>
      </c>
      <c r="G51" s="12" t="s">
        <v>287</v>
      </c>
      <c r="H51" s="13" t="s">
        <v>288</v>
      </c>
    </row>
    <row r="52" spans="2:8" ht="21.95" customHeight="1" x14ac:dyDescent="0.2">
      <c r="B52" s="2" t="s">
        <v>289</v>
      </c>
      <c r="C52" s="3" t="s">
        <v>283</v>
      </c>
      <c r="D52" s="4" t="s">
        <v>290</v>
      </c>
      <c r="E52" s="5" t="s">
        <v>291</v>
      </c>
      <c r="F52" s="5" t="s">
        <v>292</v>
      </c>
      <c r="G52" s="6" t="s">
        <v>293</v>
      </c>
      <c r="H52" s="7" t="s">
        <v>294</v>
      </c>
    </row>
    <row r="53" spans="2:8" ht="21.95" customHeight="1" x14ac:dyDescent="0.2">
      <c r="B53" s="8" t="s">
        <v>295</v>
      </c>
      <c r="C53" s="9" t="s">
        <v>283</v>
      </c>
      <c r="D53" s="10" t="s">
        <v>296</v>
      </c>
      <c r="E53" s="11" t="s">
        <v>297</v>
      </c>
      <c r="F53" s="11" t="s">
        <v>298</v>
      </c>
      <c r="G53" s="12" t="s">
        <v>299</v>
      </c>
      <c r="H53" s="13" t="s">
        <v>300</v>
      </c>
    </row>
    <row r="54" spans="2:8" ht="21.95" customHeight="1" x14ac:dyDescent="0.2">
      <c r="B54" s="2" t="s">
        <v>301</v>
      </c>
      <c r="C54" s="3" t="s">
        <v>283</v>
      </c>
      <c r="D54" s="4" t="s">
        <v>302</v>
      </c>
      <c r="E54" s="5" t="s">
        <v>303</v>
      </c>
      <c r="F54" s="5" t="s">
        <v>304</v>
      </c>
      <c r="G54" s="6" t="s">
        <v>305</v>
      </c>
      <c r="H54" s="7" t="s">
        <v>306</v>
      </c>
    </row>
    <row r="55" spans="2:8" ht="21.95" customHeight="1" x14ac:dyDescent="0.2">
      <c r="B55" s="8" t="s">
        <v>307</v>
      </c>
      <c r="C55" s="9" t="s">
        <v>283</v>
      </c>
      <c r="D55" s="10" t="s">
        <v>308</v>
      </c>
      <c r="E55" s="11" t="s">
        <v>309</v>
      </c>
      <c r="F55" s="11" t="s">
        <v>310</v>
      </c>
      <c r="G55" s="12" t="s">
        <v>311</v>
      </c>
      <c r="H55" s="13" t="s">
        <v>312</v>
      </c>
    </row>
    <row r="56" spans="2:8" ht="21.95" customHeight="1" x14ac:dyDescent="0.2">
      <c r="B56" s="2" t="s">
        <v>313</v>
      </c>
      <c r="C56" s="3" t="s">
        <v>283</v>
      </c>
      <c r="D56" s="4" t="s">
        <v>314</v>
      </c>
      <c r="E56" s="5" t="s">
        <v>315</v>
      </c>
      <c r="F56" s="5" t="s">
        <v>316</v>
      </c>
      <c r="G56" s="6" t="s">
        <v>317</v>
      </c>
      <c r="H56" s="7" t="s">
        <v>318</v>
      </c>
    </row>
    <row r="57" spans="2:8" ht="21.95" customHeight="1" x14ac:dyDescent="0.2">
      <c r="B57" s="8" t="s">
        <v>319</v>
      </c>
      <c r="C57" s="9" t="s">
        <v>283</v>
      </c>
      <c r="D57" s="10" t="s">
        <v>320</v>
      </c>
      <c r="E57" s="11" t="s">
        <v>321</v>
      </c>
      <c r="F57" s="11" t="s">
        <v>322</v>
      </c>
      <c r="G57" s="12" t="s">
        <v>323</v>
      </c>
      <c r="H57" s="13" t="s">
        <v>324</v>
      </c>
    </row>
    <row r="58" spans="2:8" ht="21.95" customHeight="1" x14ac:dyDescent="0.2">
      <c r="B58" s="2" t="s">
        <v>325</v>
      </c>
      <c r="C58" s="3" t="s">
        <v>283</v>
      </c>
      <c r="D58" s="4" t="s">
        <v>326</v>
      </c>
      <c r="E58" s="5" t="s">
        <v>327</v>
      </c>
      <c r="F58" s="5" t="s">
        <v>328</v>
      </c>
      <c r="G58" s="6" t="s">
        <v>329</v>
      </c>
      <c r="H58" s="7" t="s">
        <v>330</v>
      </c>
    </row>
    <row r="59" spans="2:8" ht="21.95" customHeight="1" x14ac:dyDescent="0.2">
      <c r="B59" s="8" t="s">
        <v>331</v>
      </c>
      <c r="C59" s="9" t="s">
        <v>283</v>
      </c>
      <c r="D59" s="10" t="s">
        <v>332</v>
      </c>
      <c r="E59" s="11" t="s">
        <v>333</v>
      </c>
      <c r="F59" s="11" t="s">
        <v>334</v>
      </c>
      <c r="G59" s="12" t="s">
        <v>335</v>
      </c>
      <c r="H59" s="13" t="s">
        <v>336</v>
      </c>
    </row>
    <row r="60" spans="2:8" ht="21.95" customHeight="1" x14ac:dyDescent="0.2">
      <c r="B60" s="2" t="s">
        <v>337</v>
      </c>
      <c r="C60" s="3" t="s">
        <v>283</v>
      </c>
      <c r="D60" s="4" t="s">
        <v>338</v>
      </c>
      <c r="E60" s="5" t="s">
        <v>339</v>
      </c>
      <c r="F60" s="5" t="s">
        <v>340</v>
      </c>
      <c r="G60" s="6" t="s">
        <v>341</v>
      </c>
      <c r="H60" s="7" t="s">
        <v>342</v>
      </c>
    </row>
    <row r="61" spans="2:8" ht="21.95" customHeight="1" x14ac:dyDescent="0.2">
      <c r="B61" s="8" t="s">
        <v>343</v>
      </c>
      <c r="C61" s="9" t="s">
        <v>283</v>
      </c>
      <c r="D61" s="10" t="s">
        <v>344</v>
      </c>
      <c r="E61" s="11" t="s">
        <v>345</v>
      </c>
      <c r="F61" s="11" t="s">
        <v>346</v>
      </c>
      <c r="G61" s="12" t="s">
        <v>347</v>
      </c>
      <c r="H61" s="13" t="s">
        <v>348</v>
      </c>
    </row>
    <row r="62" spans="2:8" ht="21.95" customHeight="1" x14ac:dyDescent="0.2">
      <c r="B62" s="2" t="s">
        <v>349</v>
      </c>
      <c r="C62" s="3" t="s">
        <v>283</v>
      </c>
      <c r="D62" s="4" t="s">
        <v>350</v>
      </c>
      <c r="E62" s="5" t="s">
        <v>351</v>
      </c>
      <c r="F62" s="5" t="s">
        <v>352</v>
      </c>
      <c r="G62" s="6" t="s">
        <v>353</v>
      </c>
      <c r="H62" s="7" t="s">
        <v>354</v>
      </c>
    </row>
    <row r="63" spans="2:8" ht="21.95" customHeight="1" x14ac:dyDescent="0.2">
      <c r="B63" s="8" t="s">
        <v>355</v>
      </c>
      <c r="C63" s="9" t="s">
        <v>283</v>
      </c>
      <c r="D63" s="10" t="s">
        <v>356</v>
      </c>
      <c r="E63" s="11" t="s">
        <v>357</v>
      </c>
      <c r="F63" s="11" t="s">
        <v>358</v>
      </c>
      <c r="G63" s="12" t="s">
        <v>359</v>
      </c>
      <c r="H63" s="13" t="s">
        <v>360</v>
      </c>
    </row>
    <row r="64" spans="2:8" ht="21.95" customHeight="1" x14ac:dyDescent="0.2">
      <c r="B64" s="2" t="s">
        <v>361</v>
      </c>
      <c r="C64" s="3" t="s">
        <v>283</v>
      </c>
      <c r="D64" s="4" t="s">
        <v>362</v>
      </c>
      <c r="E64" s="5" t="s">
        <v>363</v>
      </c>
      <c r="F64" s="5" t="s">
        <v>364</v>
      </c>
      <c r="G64" s="6" t="s">
        <v>365</v>
      </c>
      <c r="H64" s="7" t="s">
        <v>366</v>
      </c>
    </row>
    <row r="65" spans="2:8" ht="21.95" customHeight="1" x14ac:dyDescent="0.2">
      <c r="B65" s="8" t="s">
        <v>367</v>
      </c>
      <c r="C65" s="9" t="s">
        <v>283</v>
      </c>
      <c r="D65" s="10" t="s">
        <v>368</v>
      </c>
      <c r="E65" s="11" t="s">
        <v>369</v>
      </c>
      <c r="F65" s="11" t="s">
        <v>370</v>
      </c>
      <c r="G65" s="12" t="s">
        <v>371</v>
      </c>
      <c r="H65" s="13" t="s">
        <v>372</v>
      </c>
    </row>
    <row r="66" spans="2:8" ht="21.95" customHeight="1" x14ac:dyDescent="0.2">
      <c r="B66" s="2" t="s">
        <v>373</v>
      </c>
      <c r="C66" s="3" t="s">
        <v>283</v>
      </c>
      <c r="D66" s="4" t="s">
        <v>374</v>
      </c>
      <c r="E66" s="5" t="s">
        <v>375</v>
      </c>
      <c r="F66" s="5" t="s">
        <v>376</v>
      </c>
      <c r="G66" s="6" t="s">
        <v>377</v>
      </c>
      <c r="H66" s="7" t="s">
        <v>378</v>
      </c>
    </row>
    <row r="67" spans="2:8" ht="21.95" customHeight="1" x14ac:dyDescent="0.2">
      <c r="B67" s="8" t="s">
        <v>379</v>
      </c>
      <c r="C67" s="9" t="s">
        <v>283</v>
      </c>
      <c r="D67" s="10" t="s">
        <v>380</v>
      </c>
      <c r="E67" s="11" t="s">
        <v>381</v>
      </c>
      <c r="F67" s="11" t="s">
        <v>382</v>
      </c>
      <c r="G67" s="12" t="s">
        <v>383</v>
      </c>
      <c r="H67" s="13" t="s">
        <v>384</v>
      </c>
    </row>
    <row r="68" spans="2:8" ht="21.95" customHeight="1" x14ac:dyDescent="0.2">
      <c r="B68" s="2" t="s">
        <v>385</v>
      </c>
      <c r="C68" s="3" t="s">
        <v>283</v>
      </c>
      <c r="D68" s="4" t="s">
        <v>386</v>
      </c>
      <c r="E68" s="5" t="s">
        <v>387</v>
      </c>
      <c r="F68" s="5" t="s">
        <v>388</v>
      </c>
      <c r="G68" s="6" t="s">
        <v>389</v>
      </c>
      <c r="H68" s="7" t="s">
        <v>390</v>
      </c>
    </row>
    <row r="69" spans="2:8" ht="21.95" customHeight="1" x14ac:dyDescent="0.2">
      <c r="B69" s="8" t="s">
        <v>391</v>
      </c>
      <c r="C69" s="9" t="s">
        <v>283</v>
      </c>
      <c r="D69" s="10" t="s">
        <v>392</v>
      </c>
      <c r="E69" s="11" t="s">
        <v>393</v>
      </c>
      <c r="F69" s="11" t="s">
        <v>394</v>
      </c>
      <c r="G69" s="12" t="s">
        <v>395</v>
      </c>
      <c r="H69" s="13" t="s">
        <v>396</v>
      </c>
    </row>
    <row r="70" spans="2:8" ht="21.95" customHeight="1" x14ac:dyDescent="0.2">
      <c r="B70" s="2" t="s">
        <v>397</v>
      </c>
      <c r="C70" s="3" t="s">
        <v>283</v>
      </c>
      <c r="D70" s="4" t="s">
        <v>398</v>
      </c>
      <c r="E70" s="5" t="s">
        <v>399</v>
      </c>
      <c r="F70" s="5" t="s">
        <v>400</v>
      </c>
      <c r="G70" s="6" t="s">
        <v>401</v>
      </c>
      <c r="H70" s="7" t="s">
        <v>402</v>
      </c>
    </row>
    <row r="71" spans="2:8" ht="21.95" customHeight="1" x14ac:dyDescent="0.2">
      <c r="B71" s="8" t="s">
        <v>403</v>
      </c>
      <c r="C71" s="9" t="s">
        <v>404</v>
      </c>
      <c r="D71" s="10" t="s">
        <v>405</v>
      </c>
      <c r="E71" s="11" t="s">
        <v>406</v>
      </c>
      <c r="F71" s="11" t="s">
        <v>407</v>
      </c>
      <c r="G71" s="12" t="s">
        <v>408</v>
      </c>
      <c r="H71" s="13" t="s">
        <v>409</v>
      </c>
    </row>
    <row r="72" spans="2:8" ht="21.95" customHeight="1" x14ac:dyDescent="0.2">
      <c r="B72" s="2" t="s">
        <v>410</v>
      </c>
      <c r="C72" s="3" t="s">
        <v>404</v>
      </c>
      <c r="D72" s="4" t="s">
        <v>411</v>
      </c>
      <c r="E72" s="5" t="s">
        <v>412</v>
      </c>
      <c r="F72" s="5" t="s">
        <v>413</v>
      </c>
      <c r="G72" s="6" t="s">
        <v>414</v>
      </c>
      <c r="H72" s="7" t="s">
        <v>415</v>
      </c>
    </row>
    <row r="73" spans="2:8" ht="21.95" customHeight="1" x14ac:dyDescent="0.2">
      <c r="B73" s="8" t="s">
        <v>416</v>
      </c>
      <c r="C73" s="9" t="s">
        <v>404</v>
      </c>
      <c r="D73" s="10" t="s">
        <v>417</v>
      </c>
      <c r="E73" s="11" t="s">
        <v>418</v>
      </c>
      <c r="F73" s="11" t="s">
        <v>419</v>
      </c>
      <c r="G73" s="12" t="s">
        <v>420</v>
      </c>
      <c r="H73" s="13" t="s">
        <v>421</v>
      </c>
    </row>
    <row r="74" spans="2:8" ht="21.95" customHeight="1" x14ac:dyDescent="0.2">
      <c r="B74" s="2" t="s">
        <v>422</v>
      </c>
      <c r="C74" s="3" t="s">
        <v>404</v>
      </c>
      <c r="D74" s="4" t="s">
        <v>423</v>
      </c>
      <c r="E74" s="5" t="s">
        <v>424</v>
      </c>
      <c r="F74" s="5" t="s">
        <v>425</v>
      </c>
      <c r="G74" s="6" t="s">
        <v>426</v>
      </c>
      <c r="H74" s="7" t="s">
        <v>427</v>
      </c>
    </row>
    <row r="75" spans="2:8" ht="21.95" customHeight="1" x14ac:dyDescent="0.2">
      <c r="B75" s="8" t="s">
        <v>428</v>
      </c>
      <c r="C75" s="9" t="s">
        <v>404</v>
      </c>
      <c r="D75" s="10" t="s">
        <v>429</v>
      </c>
      <c r="E75" s="11" t="s">
        <v>430</v>
      </c>
      <c r="F75" s="11" t="s">
        <v>431</v>
      </c>
      <c r="G75" s="12" t="s">
        <v>432</v>
      </c>
      <c r="H75" s="13" t="s">
        <v>433</v>
      </c>
    </row>
    <row r="76" spans="2:8" ht="21.95" customHeight="1" x14ac:dyDescent="0.2">
      <c r="B76" s="2" t="s">
        <v>434</v>
      </c>
      <c r="C76" s="3" t="s">
        <v>404</v>
      </c>
      <c r="D76" s="4" t="s">
        <v>435</v>
      </c>
      <c r="E76" s="5" t="s">
        <v>436</v>
      </c>
      <c r="F76" s="5" t="s">
        <v>437</v>
      </c>
      <c r="G76" s="6" t="s">
        <v>438</v>
      </c>
      <c r="H76" s="7" t="s">
        <v>439</v>
      </c>
    </row>
    <row r="77" spans="2:8" ht="21.95" customHeight="1" x14ac:dyDescent="0.2">
      <c r="B77" s="8" t="s">
        <v>440</v>
      </c>
      <c r="C77" s="9" t="s">
        <v>404</v>
      </c>
      <c r="D77" s="10" t="s">
        <v>441</v>
      </c>
      <c r="E77" s="11" t="s">
        <v>442</v>
      </c>
      <c r="F77" s="11" t="s">
        <v>443</v>
      </c>
      <c r="G77" s="12" t="s">
        <v>244</v>
      </c>
      <c r="H77" s="13" t="s">
        <v>444</v>
      </c>
    </row>
    <row r="78" spans="2:8" ht="21.95" customHeight="1" x14ac:dyDescent="0.2">
      <c r="B78" s="2" t="s">
        <v>445</v>
      </c>
      <c r="C78" s="3" t="s">
        <v>404</v>
      </c>
      <c r="D78" s="4" t="s">
        <v>446</v>
      </c>
      <c r="E78" s="5" t="s">
        <v>447</v>
      </c>
      <c r="F78" s="5" t="s">
        <v>448</v>
      </c>
      <c r="G78" s="6" t="s">
        <v>449</v>
      </c>
      <c r="H78" s="7" t="s">
        <v>450</v>
      </c>
    </row>
    <row r="79" spans="2:8" ht="21.95" customHeight="1" x14ac:dyDescent="0.2">
      <c r="B79" s="8" t="s">
        <v>451</v>
      </c>
      <c r="C79" s="9" t="s">
        <v>404</v>
      </c>
      <c r="D79" s="10" t="s">
        <v>452</v>
      </c>
      <c r="E79" s="11" t="s">
        <v>453</v>
      </c>
      <c r="F79" s="11" t="s">
        <v>454</v>
      </c>
      <c r="G79" s="12" t="s">
        <v>455</v>
      </c>
      <c r="H79" s="13" t="s">
        <v>456</v>
      </c>
    </row>
    <row r="80" spans="2:8" ht="21.95" customHeight="1" x14ac:dyDescent="0.2">
      <c r="B80" s="2" t="s">
        <v>457</v>
      </c>
      <c r="C80" s="3" t="s">
        <v>404</v>
      </c>
      <c r="D80" s="4" t="s">
        <v>458</v>
      </c>
      <c r="E80" s="5" t="s">
        <v>459</v>
      </c>
      <c r="F80" s="5" t="s">
        <v>460</v>
      </c>
      <c r="G80" s="6" t="s">
        <v>461</v>
      </c>
      <c r="H80" s="7" t="s">
        <v>462</v>
      </c>
    </row>
    <row r="81" spans="2:8" ht="21.95" customHeight="1" x14ac:dyDescent="0.2">
      <c r="B81" s="8" t="s">
        <v>463</v>
      </c>
      <c r="C81" s="9" t="s">
        <v>404</v>
      </c>
      <c r="D81" s="10" t="s">
        <v>464</v>
      </c>
      <c r="E81" s="11" t="s">
        <v>465</v>
      </c>
      <c r="F81" s="11" t="s">
        <v>466</v>
      </c>
      <c r="G81" s="12" t="s">
        <v>467</v>
      </c>
      <c r="H81" s="13" t="s">
        <v>468</v>
      </c>
    </row>
    <row r="82" spans="2:8" ht="21.95" customHeight="1" x14ac:dyDescent="0.2">
      <c r="B82" s="2" t="s">
        <v>469</v>
      </c>
      <c r="C82" s="3" t="s">
        <v>404</v>
      </c>
      <c r="D82" s="4" t="s">
        <v>470</v>
      </c>
      <c r="E82" s="5" t="s">
        <v>471</v>
      </c>
      <c r="F82" s="5" t="s">
        <v>472</v>
      </c>
      <c r="G82" s="6" t="s">
        <v>473</v>
      </c>
      <c r="H82" s="7" t="s">
        <v>474</v>
      </c>
    </row>
    <row r="83" spans="2:8" ht="21.95" customHeight="1" x14ac:dyDescent="0.2">
      <c r="B83" s="8" t="s">
        <v>475</v>
      </c>
      <c r="C83" s="9" t="s">
        <v>404</v>
      </c>
      <c r="D83" s="10" t="s">
        <v>476</v>
      </c>
      <c r="E83" s="11" t="s">
        <v>477</v>
      </c>
      <c r="F83" s="11" t="s">
        <v>478</v>
      </c>
      <c r="G83" s="12" t="s">
        <v>479</v>
      </c>
      <c r="H83" s="13" t="s">
        <v>480</v>
      </c>
    </row>
    <row r="84" spans="2:8" ht="21.95" customHeight="1" x14ac:dyDescent="0.2">
      <c r="B84" s="2" t="s">
        <v>481</v>
      </c>
      <c r="C84" s="3" t="s">
        <v>404</v>
      </c>
      <c r="D84" s="4" t="s">
        <v>482</v>
      </c>
      <c r="E84" s="5" t="s">
        <v>483</v>
      </c>
      <c r="F84" s="5" t="s">
        <v>484</v>
      </c>
      <c r="G84" s="6" t="s">
        <v>485</v>
      </c>
      <c r="H84" s="7" t="s">
        <v>486</v>
      </c>
    </row>
    <row r="85" spans="2:8" ht="21.95" customHeight="1" x14ac:dyDescent="0.2">
      <c r="B85" s="8" t="s">
        <v>487</v>
      </c>
      <c r="C85" s="9" t="s">
        <v>404</v>
      </c>
      <c r="D85" s="10" t="s">
        <v>488</v>
      </c>
      <c r="E85" s="11" t="s">
        <v>489</v>
      </c>
      <c r="F85" s="11" t="s">
        <v>490</v>
      </c>
      <c r="G85" s="12" t="s">
        <v>491</v>
      </c>
      <c r="H85" s="13" t="s">
        <v>492</v>
      </c>
    </row>
    <row r="86" spans="2:8" ht="21.95" customHeight="1" x14ac:dyDescent="0.2">
      <c r="B86" s="2" t="s">
        <v>493</v>
      </c>
      <c r="C86" s="3" t="s">
        <v>404</v>
      </c>
      <c r="D86" s="4" t="s">
        <v>494</v>
      </c>
      <c r="E86" s="5" t="s">
        <v>495</v>
      </c>
      <c r="F86" s="5" t="s">
        <v>496</v>
      </c>
      <c r="G86" s="6" t="s">
        <v>497</v>
      </c>
      <c r="H86" s="7" t="s">
        <v>498</v>
      </c>
    </row>
    <row r="87" spans="2:8" ht="21.95" customHeight="1" x14ac:dyDescent="0.2">
      <c r="B87" s="8" t="s">
        <v>499</v>
      </c>
      <c r="C87" s="9" t="s">
        <v>404</v>
      </c>
      <c r="D87" s="10" t="s">
        <v>500</v>
      </c>
      <c r="E87" s="11" t="s">
        <v>501</v>
      </c>
      <c r="F87" s="11" t="s">
        <v>502</v>
      </c>
      <c r="G87" s="12" t="s">
        <v>503</v>
      </c>
      <c r="H87" s="13" t="s">
        <v>504</v>
      </c>
    </row>
    <row r="88" spans="2:8" ht="21.95" customHeight="1" x14ac:dyDescent="0.2">
      <c r="B88" s="2" t="s">
        <v>505</v>
      </c>
      <c r="C88" s="3" t="s">
        <v>404</v>
      </c>
      <c r="D88" s="4" t="s">
        <v>506</v>
      </c>
      <c r="E88" s="5" t="s">
        <v>507</v>
      </c>
      <c r="F88" s="5" t="s">
        <v>508</v>
      </c>
      <c r="G88" s="6" t="s">
        <v>509</v>
      </c>
      <c r="H88" s="7" t="s">
        <v>510</v>
      </c>
    </row>
    <row r="89" spans="2:8" ht="21.95" customHeight="1" x14ac:dyDescent="0.2">
      <c r="B89" s="8" t="s">
        <v>511</v>
      </c>
      <c r="C89" s="9" t="s">
        <v>404</v>
      </c>
      <c r="D89" s="10" t="s">
        <v>512</v>
      </c>
      <c r="E89" s="11" t="s">
        <v>513</v>
      </c>
      <c r="F89" s="11" t="s">
        <v>514</v>
      </c>
      <c r="G89" s="12" t="s">
        <v>515</v>
      </c>
      <c r="H89" s="13" t="s">
        <v>516</v>
      </c>
    </row>
    <row r="90" spans="2:8" ht="21.95" customHeight="1" x14ac:dyDescent="0.2">
      <c r="B90" s="2" t="s">
        <v>517</v>
      </c>
      <c r="C90" s="3" t="s">
        <v>404</v>
      </c>
      <c r="D90" s="4" t="s">
        <v>518</v>
      </c>
      <c r="E90" s="5" t="s">
        <v>519</v>
      </c>
      <c r="F90" s="5" t="s">
        <v>520</v>
      </c>
      <c r="G90" s="6" t="s">
        <v>521</v>
      </c>
      <c r="H90" s="7" t="s">
        <v>522</v>
      </c>
    </row>
    <row r="91" spans="2:8" ht="21.95" customHeight="1" x14ac:dyDescent="0.2">
      <c r="B91" s="8" t="s">
        <v>523</v>
      </c>
      <c r="C91" s="9" t="s">
        <v>524</v>
      </c>
      <c r="D91" s="10" t="s">
        <v>525</v>
      </c>
      <c r="E91" s="11" t="s">
        <v>526</v>
      </c>
      <c r="F91" s="11" t="s">
        <v>527</v>
      </c>
      <c r="G91" s="12" t="s">
        <v>528</v>
      </c>
      <c r="H91" s="13" t="s">
        <v>529</v>
      </c>
    </row>
    <row r="92" spans="2:8" ht="21.95" customHeight="1" x14ac:dyDescent="0.2">
      <c r="B92" s="2" t="s">
        <v>530</v>
      </c>
      <c r="C92" s="3" t="s">
        <v>524</v>
      </c>
      <c r="D92" s="4" t="s">
        <v>531</v>
      </c>
      <c r="E92" s="5" t="s">
        <v>532</v>
      </c>
      <c r="F92" s="5" t="s">
        <v>533</v>
      </c>
      <c r="G92" s="6" t="s">
        <v>534</v>
      </c>
      <c r="H92" s="7" t="s">
        <v>535</v>
      </c>
    </row>
    <row r="93" spans="2:8" ht="21.95" customHeight="1" x14ac:dyDescent="0.2">
      <c r="B93" s="8" t="s">
        <v>536</v>
      </c>
      <c r="C93" s="9" t="s">
        <v>524</v>
      </c>
      <c r="D93" s="10" t="s">
        <v>537</v>
      </c>
      <c r="E93" s="11" t="s">
        <v>538</v>
      </c>
      <c r="F93" s="11" t="s">
        <v>539</v>
      </c>
      <c r="G93" s="12" t="s">
        <v>540</v>
      </c>
      <c r="H93" s="13" t="s">
        <v>541</v>
      </c>
    </row>
    <row r="94" spans="2:8" ht="21.95" customHeight="1" x14ac:dyDescent="0.2">
      <c r="B94" s="2" t="s">
        <v>542</v>
      </c>
      <c r="C94" s="3" t="s">
        <v>543</v>
      </c>
      <c r="D94" s="4" t="s">
        <v>544</v>
      </c>
      <c r="E94" s="5" t="s">
        <v>545</v>
      </c>
      <c r="F94" s="5" t="s">
        <v>546</v>
      </c>
      <c r="G94" s="6" t="s">
        <v>547</v>
      </c>
      <c r="H94" s="7" t="s">
        <v>548</v>
      </c>
    </row>
    <row r="95" spans="2:8" ht="21.95" customHeight="1" x14ac:dyDescent="0.2">
      <c r="B95" s="8" t="s">
        <v>549</v>
      </c>
      <c r="C95" s="9" t="s">
        <v>543</v>
      </c>
      <c r="D95" s="10" t="s">
        <v>550</v>
      </c>
      <c r="E95" s="11" t="s">
        <v>551</v>
      </c>
      <c r="F95" s="11" t="s">
        <v>552</v>
      </c>
      <c r="G95" s="12" t="s">
        <v>553</v>
      </c>
      <c r="H95" s="13" t="s">
        <v>554</v>
      </c>
    </row>
    <row r="96" spans="2:8" ht="21.95" customHeight="1" x14ac:dyDescent="0.2">
      <c r="B96" s="2" t="s">
        <v>555</v>
      </c>
      <c r="C96" s="3" t="s">
        <v>543</v>
      </c>
      <c r="D96" s="4" t="s">
        <v>556</v>
      </c>
      <c r="E96" s="5" t="s">
        <v>557</v>
      </c>
      <c r="F96" s="5" t="s">
        <v>558</v>
      </c>
      <c r="G96" s="6" t="s">
        <v>559</v>
      </c>
      <c r="H96" s="7" t="s">
        <v>560</v>
      </c>
    </row>
    <row r="97" spans="2:8" ht="21.95" customHeight="1" x14ac:dyDescent="0.2">
      <c r="B97" s="8" t="s">
        <v>561</v>
      </c>
      <c r="C97" s="9" t="s">
        <v>562</v>
      </c>
      <c r="D97" s="10" t="s">
        <v>563</v>
      </c>
      <c r="E97" s="11" t="s">
        <v>564</v>
      </c>
      <c r="F97" s="11" t="s">
        <v>565</v>
      </c>
      <c r="G97" s="12" t="s">
        <v>566</v>
      </c>
      <c r="H97" s="13" t="s">
        <v>567</v>
      </c>
    </row>
    <row r="98" spans="2:8" ht="21.95" customHeight="1" x14ac:dyDescent="0.2">
      <c r="B98" s="2" t="s">
        <v>568</v>
      </c>
      <c r="C98" s="3" t="s">
        <v>562</v>
      </c>
      <c r="D98" s="4" t="s">
        <v>569</v>
      </c>
      <c r="E98" s="5" t="s">
        <v>570</v>
      </c>
      <c r="F98" s="5" t="s">
        <v>571</v>
      </c>
      <c r="G98" s="6" t="s">
        <v>572</v>
      </c>
      <c r="H98" s="7" t="s">
        <v>573</v>
      </c>
    </row>
    <row r="99" spans="2:8" ht="21.95" customHeight="1" x14ac:dyDescent="0.2">
      <c r="B99" s="8" t="s">
        <v>574</v>
      </c>
      <c r="C99" s="9" t="s">
        <v>562</v>
      </c>
      <c r="D99" s="10" t="s">
        <v>575</v>
      </c>
      <c r="E99" s="11" t="s">
        <v>576</v>
      </c>
      <c r="F99" s="11" t="s">
        <v>577</v>
      </c>
      <c r="G99" s="12" t="s">
        <v>105</v>
      </c>
      <c r="H99" s="13" t="s">
        <v>578</v>
      </c>
    </row>
    <row r="100" spans="2:8" ht="21.95" customHeight="1" x14ac:dyDescent="0.2">
      <c r="B100" s="2" t="s">
        <v>579</v>
      </c>
      <c r="C100" s="3" t="s">
        <v>562</v>
      </c>
      <c r="D100" s="4" t="s">
        <v>580</v>
      </c>
      <c r="E100" s="5" t="s">
        <v>581</v>
      </c>
      <c r="F100" s="5" t="s">
        <v>582</v>
      </c>
      <c r="G100" s="6" t="s">
        <v>583</v>
      </c>
      <c r="H100" s="7" t="s">
        <v>584</v>
      </c>
    </row>
    <row r="101" spans="2:8" ht="21.95" customHeight="1" x14ac:dyDescent="0.2">
      <c r="B101" s="8" t="s">
        <v>585</v>
      </c>
      <c r="C101" s="9" t="s">
        <v>562</v>
      </c>
      <c r="D101" s="10" t="s">
        <v>586</v>
      </c>
      <c r="E101" s="11" t="s">
        <v>587</v>
      </c>
      <c r="F101" s="11" t="s">
        <v>588</v>
      </c>
      <c r="G101" s="12" t="s">
        <v>589</v>
      </c>
      <c r="H101" s="13" t="s">
        <v>590</v>
      </c>
    </row>
    <row r="102" spans="2:8" ht="21.95" customHeight="1" x14ac:dyDescent="0.2">
      <c r="B102" s="2" t="s">
        <v>591</v>
      </c>
      <c r="C102" s="3" t="s">
        <v>562</v>
      </c>
      <c r="D102" s="4" t="s">
        <v>592</v>
      </c>
      <c r="E102" s="5" t="s">
        <v>593</v>
      </c>
      <c r="F102" s="5" t="s">
        <v>594</v>
      </c>
      <c r="G102" s="6" t="s">
        <v>595</v>
      </c>
      <c r="H102" s="7" t="s">
        <v>596</v>
      </c>
    </row>
    <row r="103" spans="2:8" ht="21.95" customHeight="1" x14ac:dyDescent="0.2">
      <c r="B103" s="8" t="s">
        <v>597</v>
      </c>
      <c r="C103" s="9" t="s">
        <v>562</v>
      </c>
      <c r="D103" s="10" t="s">
        <v>598</v>
      </c>
      <c r="E103" s="11" t="s">
        <v>599</v>
      </c>
      <c r="F103" s="11" t="s">
        <v>600</v>
      </c>
      <c r="G103" s="12" t="s">
        <v>601</v>
      </c>
      <c r="H103" s="13" t="s">
        <v>602</v>
      </c>
    </row>
    <row r="104" spans="2:8" ht="21.95" customHeight="1" x14ac:dyDescent="0.2">
      <c r="B104" s="2" t="s">
        <v>603</v>
      </c>
      <c r="C104" s="3" t="s">
        <v>562</v>
      </c>
      <c r="D104" s="4" t="s">
        <v>604</v>
      </c>
      <c r="E104" s="5" t="s">
        <v>605</v>
      </c>
      <c r="F104" s="5" t="s">
        <v>606</v>
      </c>
      <c r="G104" s="6" t="s">
        <v>232</v>
      </c>
      <c r="H104" s="7" t="s">
        <v>607</v>
      </c>
    </row>
    <row r="105" spans="2:8" ht="21.95" customHeight="1" x14ac:dyDescent="0.2">
      <c r="B105" s="8" t="s">
        <v>608</v>
      </c>
      <c r="C105" s="9" t="s">
        <v>562</v>
      </c>
      <c r="D105" s="10" t="s">
        <v>609</v>
      </c>
      <c r="E105" s="11" t="s">
        <v>610</v>
      </c>
      <c r="F105" s="11" t="s">
        <v>611</v>
      </c>
      <c r="G105" s="12" t="s">
        <v>612</v>
      </c>
      <c r="H105" s="13" t="s">
        <v>613</v>
      </c>
    </row>
  </sheetData>
  <mergeCells count="2">
    <mergeCell ref="B3:H3"/>
    <mergeCell ref="B2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13"/>
  <sheetViews>
    <sheetView workbookViewId="0"/>
  </sheetViews>
  <sheetFormatPr defaultRowHeight="15" x14ac:dyDescent="0.2"/>
  <cols>
    <col min="1" max="1" width="2.95703125" customWidth="1"/>
    <col min="2" max="2" width="27.98046875" customWidth="1"/>
    <col min="3" max="3" width="22.05859375" customWidth="1"/>
    <col min="4" max="4" width="20.04296875" customWidth="1"/>
  </cols>
  <sheetData>
    <row r="2" spans="2:5" ht="19.5" x14ac:dyDescent="0.3">
      <c r="B2" s="26" t="s">
        <v>614</v>
      </c>
      <c r="C2" s="24"/>
      <c r="D2" s="24"/>
      <c r="E2" s="24"/>
    </row>
    <row r="4" spans="2:5" ht="24" customHeight="1" x14ac:dyDescent="0.2">
      <c r="B4" s="14" t="s">
        <v>615</v>
      </c>
      <c r="C4" s="14" t="s">
        <v>616</v>
      </c>
      <c r="D4" s="14" t="s">
        <v>617</v>
      </c>
    </row>
    <row r="5" spans="2:5" x14ac:dyDescent="0.2">
      <c r="B5" s="15" t="s">
        <v>10</v>
      </c>
      <c r="C5" s="16">
        <f>COUNTIF('Matriz 100 Casos'!C6:C105, "Clínica / Doctores")</f>
        <v>17</v>
      </c>
      <c r="D5" s="17">
        <f>C5/SUM(C$5:C$12)</f>
        <v>0.17525773195876287</v>
      </c>
    </row>
    <row r="6" spans="2:5" x14ac:dyDescent="0.2">
      <c r="B6" s="18" t="s">
        <v>17</v>
      </c>
      <c r="C6" s="19">
        <f>COUNTIF('Matriz 100 Casos'!C6:C105, "Odontología")</f>
        <v>8</v>
      </c>
      <c r="D6" s="20">
        <f>C6/SUM(C$5:C$12)</f>
        <v>8.247422680412371E-2</v>
      </c>
    </row>
    <row r="7" spans="2:5" x14ac:dyDescent="0.2">
      <c r="B7" s="15" t="s">
        <v>162</v>
      </c>
      <c r="C7" s="16">
        <f>COUNTIF('Matriz 100 Casos'!C6:C105, "Restaurante")</f>
        <v>20</v>
      </c>
      <c r="D7" s="17">
        <f>C7/SUM(C$5:C$12)</f>
        <v>0.20618556701030927</v>
      </c>
    </row>
    <row r="8" spans="2:5" x14ac:dyDescent="0.2">
      <c r="B8" s="18" t="s">
        <v>283</v>
      </c>
      <c r="C8" s="19">
        <f>COUNTIF('Matriz 100 Casos'!C6:C105, "Spa / Peluquería")</f>
        <v>20</v>
      </c>
      <c r="D8" s="20">
        <f>C8/SUM(C$5:C$12)</f>
        <v>0.20618556701030927</v>
      </c>
    </row>
    <row r="9" spans="2:5" x14ac:dyDescent="0.2">
      <c r="B9" s="15" t="s">
        <v>404</v>
      </c>
      <c r="C9" s="16">
        <f>COUNTIF('Matriz 100 Casos'!C6:C105, "Comercio / Tienda")</f>
        <v>20</v>
      </c>
      <c r="D9" s="17">
        <f>C9/SUM(C$5:C$12)</f>
        <v>0.20618556701030927</v>
      </c>
    </row>
    <row r="10" spans="2:5" x14ac:dyDescent="0.2">
      <c r="B10" s="18" t="s">
        <v>618</v>
      </c>
      <c r="C10" s="19">
        <f>COUNTIF('Matriz 100 Casos'!C6:C105, "Gimnasio / Fitness")</f>
        <v>0</v>
      </c>
      <c r="D10" s="20">
        <f>C10/SUM(C$5:C$12)</f>
        <v>0</v>
      </c>
    </row>
    <row r="11" spans="2:5" x14ac:dyDescent="0.2">
      <c r="B11" s="15" t="s">
        <v>543</v>
      </c>
      <c r="C11" s="16">
        <f>COUNTIF('Matriz 100 Casos'!C6:C105, "Hospedaje / Hotel")</f>
        <v>3</v>
      </c>
      <c r="D11" s="17">
        <f>C11/SUM(C$5:C$12)</f>
        <v>3.0927835051546393E-2</v>
      </c>
    </row>
    <row r="12" spans="2:5" x14ac:dyDescent="0.2">
      <c r="B12" s="18" t="s">
        <v>562</v>
      </c>
      <c r="C12" s="19">
        <f>COUNTIF('Matriz 100 Casos'!C6:C105, "Servicios / Varios")</f>
        <v>9</v>
      </c>
      <c r="D12" s="20">
        <f>C12/SUM(C$5:C$12)</f>
        <v>9.2783505154639179E-2</v>
      </c>
    </row>
    <row r="13" spans="2:5" x14ac:dyDescent="0.2">
      <c r="B13" s="21" t="s">
        <v>619</v>
      </c>
      <c r="C13" s="21">
        <f>SUM(C5:C12)</f>
        <v>97</v>
      </c>
      <c r="D13" s="22">
        <f>SUM(D5:D12)</f>
        <v>1</v>
      </c>
    </row>
  </sheetData>
  <mergeCells count="1"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Matriz 100 Casos</vt:lpstr>
      <vt:lpstr>Resumen por Sector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2026-08-03T14:36:51Z</dcterms:created>
  <dcterms:modified xsi:type="dcterms:W3CDTF">2026-08-03T14:36:51Z</dcterms:modified>
</cp:coreProperties>
</file>